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teva/Desktop/"/>
    </mc:Choice>
  </mc:AlternateContent>
  <xr:revisionPtr revIDLastSave="0" documentId="8_{82DE1C55-3DF5-4744-B98E-DA99DE4E6288}" xr6:coauthVersionLast="47" xr6:coauthVersionMax="47" xr10:uidLastSave="{00000000-0000-0000-0000-000000000000}"/>
  <bookViews>
    <workbookView xWindow="0" yWindow="600" windowWidth="32520" windowHeight="23460" tabRatio="500" xr2:uid="{00000000-000D-0000-FFFF-FFFF00000000}"/>
  </bookViews>
  <sheets>
    <sheet name="📋 BASE EXPOSANTS (2)" sheetId="5" r:id="rId1"/>
    <sheet name="📋 BASE EXPOSANTS" sheetId="1" r:id="rId2"/>
    <sheet name="📞 PROSPECTION 2026" sheetId="2" r:id="rId3"/>
    <sheet name="📍 RÉCAP SITES" sheetId="3" r:id="rId4"/>
    <sheet name="🗂 LÉGENDE" sheetId="4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5" l="1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N33" i="5" l="1"/>
  <c r="M33" i="5"/>
  <c r="N73" i="5"/>
  <c r="M73" i="5"/>
  <c r="B73" i="5"/>
  <c r="N50" i="5"/>
  <c r="M50" i="5"/>
  <c r="B50" i="5"/>
  <c r="B94" i="1"/>
  <c r="N94" i="1"/>
  <c r="M94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M76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B93" i="1"/>
  <c r="B92" i="1"/>
  <c r="B91" i="1"/>
  <c r="B90" i="1"/>
  <c r="B89" i="1"/>
  <c r="B88" i="1"/>
  <c r="B78" i="1"/>
  <c r="B76" i="1" l="1"/>
  <c r="B77" i="1"/>
  <c r="B79" i="1"/>
  <c r="B80" i="1"/>
  <c r="B81" i="1"/>
  <c r="B82" i="1"/>
  <c r="B83" i="1"/>
  <c r="B84" i="1"/>
  <c r="B85" i="1"/>
  <c r="B86" i="1"/>
  <c r="B87" i="1"/>
  <c r="A76" i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I8" i="3"/>
  <c r="I7" i="3"/>
  <c r="I6" i="3"/>
  <c r="I5" i="3"/>
  <c r="I4" i="3"/>
  <c r="I3" i="3"/>
</calcChain>
</file>

<file path=xl/sharedStrings.xml><?xml version="1.0" encoding="utf-8"?>
<sst xmlns="http://schemas.openxmlformats.org/spreadsheetml/2006/main" count="2900" uniqueCount="623">
  <si>
    <t>FORUM DE LA RENTRÉE 2026 — BASE EXPOSANTS CONSOLIDÉE (2019–2025)  |  72 exposants recensés</t>
  </si>
  <si>
    <t>IDENTITÉ</t>
  </si>
  <si>
    <t>PRÉSENCE HISTORIQUE</t>
  </si>
  <si>
    <t>FIDÉLITÉ</t>
  </si>
  <si>
    <t>CONTACT</t>
  </si>
  <si>
    <t>STATUT 2026</t>
  </si>
  <si>
    <t>CONFIRMATION 2026</t>
  </si>
  <si>
    <t>#</t>
  </si>
  <si>
    <t>Exposant</t>
  </si>
  <si>
    <t>Activité</t>
  </si>
  <si>
    <t>Site principal</t>
  </si>
  <si>
    <t>2019</t>
  </si>
  <si>
    <t>2020</t>
  </si>
  <si>
    <t>2023</t>
  </si>
  <si>
    <t>2024</t>
  </si>
  <si>
    <t>2025</t>
  </si>
  <si>
    <t>Nb éd.</t>
  </si>
  <si>
    <t>Fidélité</t>
  </si>
  <si>
    <t>Contact Nom</t>
  </si>
  <si>
    <t>Téléphone</t>
  </si>
  <si>
    <t>Mail</t>
  </si>
  <si>
    <t>Statut 2026</t>
  </si>
  <si>
    <t>Jour 1</t>
  </si>
  <si>
    <t>Jour 2</t>
  </si>
  <si>
    <t>Commentaire</t>
  </si>
  <si>
    <t>I Mua Papeete</t>
  </si>
  <si>
    <t>Natation</t>
  </si>
  <si>
    <t>Multi-sites</t>
  </si>
  <si>
    <t>–</t>
  </si>
  <si>
    <t>✓</t>
  </si>
  <si>
    <t>⭐ Fidèle</t>
  </si>
  <si>
    <t>TAUMIHAU-GATIEN Tinihau</t>
  </si>
  <si>
    <t>89 40 22 04</t>
  </si>
  <si>
    <t>swimua.tahiti@gmail.com</t>
  </si>
  <si>
    <t>À contacter</t>
  </si>
  <si>
    <t>Olympique de Pirae</t>
  </si>
  <si>
    <t>Natation / Sauvetage</t>
  </si>
  <si>
    <t>TAPI Romy</t>
  </si>
  <si>
    <t>87 76 44 10</t>
  </si>
  <si>
    <t>olpnatation@gmail.com</t>
  </si>
  <si>
    <t>Polynélivre</t>
  </si>
  <si>
    <t>Livres / Lecture</t>
  </si>
  <si>
    <t>AUBINEAU Janick</t>
  </si>
  <si>
    <t>89 76 23 77</t>
  </si>
  <si>
    <t>aubineaujanick25@gmail.com</t>
  </si>
  <si>
    <t>Ecole de Judo de Polynésie</t>
  </si>
  <si>
    <t>Judo / Jujitsu</t>
  </si>
  <si>
    <t>BERTRAND Arnaud</t>
  </si>
  <si>
    <t>87 75 98 68</t>
  </si>
  <si>
    <t>arnaudtahiti@gmail.com</t>
  </si>
  <si>
    <t>Varuatahi Va'a Tahiti</t>
  </si>
  <si>
    <t>Va'a / Pirogue</t>
  </si>
  <si>
    <t>Ponctuel</t>
  </si>
  <si>
    <t>PAIE ELLIS Stanley</t>
  </si>
  <si>
    <t>89 40 03 03</t>
  </si>
  <si>
    <t>varuatahiti@gmail.com</t>
  </si>
  <si>
    <t>Dream Lab</t>
  </si>
  <si>
    <t>Musique</t>
  </si>
  <si>
    <t>MORGAN Tuhina</t>
  </si>
  <si>
    <t>87 75 75 40</t>
  </si>
  <si>
    <t>tuhina.morgan@gmail.com</t>
  </si>
  <si>
    <t>Judo Club de Taravao</t>
  </si>
  <si>
    <t>Judo</t>
  </si>
  <si>
    <t>DELANNE Cédric</t>
  </si>
  <si>
    <t>cedricdelanne9@hotmail.com</t>
  </si>
  <si>
    <t>Pilates Studio Tahiti</t>
  </si>
  <si>
    <t>Pilates / Bien-être</t>
  </si>
  <si>
    <t>LEMONNIER Joëlle</t>
  </si>
  <si>
    <t>87 38 74 18</t>
  </si>
  <si>
    <t>joylemon19@gmail.com</t>
  </si>
  <si>
    <t>Hapkido JJK Tahiti</t>
  </si>
  <si>
    <t>Judo / Hapkido</t>
  </si>
  <si>
    <t>CHEONG Jean-Marc</t>
  </si>
  <si>
    <t>89 71 53 30</t>
  </si>
  <si>
    <t>hapkidojjktahiti@gmail.com</t>
  </si>
  <si>
    <t>Tefana Judo</t>
  </si>
  <si>
    <t>Judo / MMA</t>
  </si>
  <si>
    <t>TIVANT Nicolas</t>
  </si>
  <si>
    <t>87 77 07 90</t>
  </si>
  <si>
    <t>tefanajudo@gmail.com</t>
  </si>
  <si>
    <t>Centre de danse André Tschan</t>
  </si>
  <si>
    <t>Danse</t>
  </si>
  <si>
    <t>40 41 20 04</t>
  </si>
  <si>
    <t>centrededanse.tschan@gmail.com</t>
  </si>
  <si>
    <t>Académie de danse Annie Fayn</t>
  </si>
  <si>
    <t>FAYN Annie</t>
  </si>
  <si>
    <t>academiededanseanniefayn@gmail.com</t>
  </si>
  <si>
    <t>Tefana Taekwondo</t>
  </si>
  <si>
    <t>Taekwondo</t>
  </si>
  <si>
    <t>Faa'a</t>
  </si>
  <si>
    <t>TAVITA Nathalie</t>
  </si>
  <si>
    <t>89 40 20 20</t>
  </si>
  <si>
    <t>tefanataekwondo@gmail.com</t>
  </si>
  <si>
    <t>Etuahi</t>
  </si>
  <si>
    <t>Ori Tahiti / Danse du feu</t>
  </si>
  <si>
    <t>Régulier</t>
  </si>
  <si>
    <t>ONDICOLBERRY Tamatea</t>
  </si>
  <si>
    <t>87 32 52 00</t>
  </si>
  <si>
    <t>etuahi.oritane@gmail.com</t>
  </si>
  <si>
    <t>Tauariki Ori Tahiti</t>
  </si>
  <si>
    <t>Ori Tahiti</t>
  </si>
  <si>
    <t>tauariki.oritahiti@hotmail.com</t>
  </si>
  <si>
    <t>Atelier Robots Lego</t>
  </si>
  <si>
    <t>Robotique</t>
  </si>
  <si>
    <t>GEIRNAERT Thierry</t>
  </si>
  <si>
    <t>89 67 00 00</t>
  </si>
  <si>
    <t>t.geirnaert@hotmail.com</t>
  </si>
  <si>
    <t>Tahiti Pol'Art</t>
  </si>
  <si>
    <t>Arts plastiques</t>
  </si>
  <si>
    <t>MAHINUI Vaiana</t>
  </si>
  <si>
    <t>87 79 85 15</t>
  </si>
  <si>
    <t>tahitipoleart@gmail.com</t>
  </si>
  <si>
    <t>Lulu dans l'arbre</t>
  </si>
  <si>
    <t>Éveil enfant</t>
  </si>
  <si>
    <t>PERACAULA Sophie</t>
  </si>
  <si>
    <t>87 32 96 64</t>
  </si>
  <si>
    <t>sophieperacaula@gmail.com</t>
  </si>
  <si>
    <t>Conservatoire de musique</t>
  </si>
  <si>
    <t>DINARD Fabien</t>
  </si>
  <si>
    <t>direction@conservatoire</t>
  </si>
  <si>
    <t>Etuahi Danse du Feu</t>
  </si>
  <si>
    <t>Taina Natation</t>
  </si>
  <si>
    <t>Punaauia</t>
  </si>
  <si>
    <t>DELAFOULLHOUZE Jean-Louis</t>
  </si>
  <si>
    <t>87 78 11 27</t>
  </si>
  <si>
    <t>tainanatation@mail.pf</t>
  </si>
  <si>
    <t>Fenua Sauvetage</t>
  </si>
  <si>
    <t>SCHUFT Moana</t>
  </si>
  <si>
    <t>89 25 34 19</t>
  </si>
  <si>
    <t>fenuasauvetagenatation@gmail.com</t>
  </si>
  <si>
    <t>Punaauia Judo Jujitsu</t>
  </si>
  <si>
    <t>VERNAUDON Rauhiti</t>
  </si>
  <si>
    <t>87 21 95 76</t>
  </si>
  <si>
    <t>jcpunaauia@gmail.com</t>
  </si>
  <si>
    <t>Eleuthera Tahiti</t>
  </si>
  <si>
    <t>Plongée / Permis bateau</t>
  </si>
  <si>
    <t>CASTEL Nicolas</t>
  </si>
  <si>
    <t>87 77 65 68</t>
  </si>
  <si>
    <t>contact@eleutheratahiti.com</t>
  </si>
  <si>
    <t>Centre de danse Vanessa Roche</t>
  </si>
  <si>
    <t>Danse / Bien-être</t>
  </si>
  <si>
    <t>ROCHE Vanessa</t>
  </si>
  <si>
    <t>87 22 45 93</t>
  </si>
  <si>
    <t>centrededanse@vanessaroche.com</t>
  </si>
  <si>
    <t>Fédération Polynésienne Escrime</t>
  </si>
  <si>
    <t>Escrime</t>
  </si>
  <si>
    <t>BELLANGER Arnaud</t>
  </si>
  <si>
    <t>89 32 99 78</t>
  </si>
  <si>
    <t>arnaud.bellanger34@gmail.com</t>
  </si>
  <si>
    <t>Punaauia Rugby Club</t>
  </si>
  <si>
    <t>Rugby</t>
  </si>
  <si>
    <t>decographic@mail.pf</t>
  </si>
  <si>
    <t>AS Manu Ura</t>
  </si>
  <si>
    <t>Polykids</t>
  </si>
  <si>
    <t>Jeux vidéo / Ateliers</t>
  </si>
  <si>
    <t>Aviron Polynésie</t>
  </si>
  <si>
    <t>Aviron</t>
  </si>
  <si>
    <t>FORGE Mathieu</t>
  </si>
  <si>
    <t>87 79 29 72</t>
  </si>
  <si>
    <t>cercleavironpolynesien@gmail.com</t>
  </si>
  <si>
    <t>Escrime Tiki Club</t>
  </si>
  <si>
    <t>SANCHEZ Bruno</t>
  </si>
  <si>
    <t>87 72 86 06</t>
  </si>
  <si>
    <t>brunosanchezpf@gmail.com</t>
  </si>
  <si>
    <t>Yoga Tahiti</t>
  </si>
  <si>
    <t>Yoga / Bien-être</t>
  </si>
  <si>
    <t>JAUMOTTE Estelle</t>
  </si>
  <si>
    <t>87 74 47 49</t>
  </si>
  <si>
    <t>estelle@yogatahiti.com</t>
  </si>
  <si>
    <t>Football Américain Tahiti</t>
  </si>
  <si>
    <t>Football américain</t>
  </si>
  <si>
    <t>BOUIT Johann</t>
  </si>
  <si>
    <t>87 30 40 60</t>
  </si>
  <si>
    <t>info@ftfa.pf</t>
  </si>
  <si>
    <t>Pole Dance Tahiti</t>
  </si>
  <si>
    <t>Pole dance</t>
  </si>
  <si>
    <t>Anne Da Silva Naturopathe</t>
  </si>
  <si>
    <t>Naturopathie</t>
  </si>
  <si>
    <t>naturoconseiltahiti@gmail.com</t>
  </si>
  <si>
    <t>Dive and Sea</t>
  </si>
  <si>
    <t>Plongée sous-marine</t>
  </si>
  <si>
    <t>ACE Arue</t>
  </si>
  <si>
    <t>Athlétisme</t>
  </si>
  <si>
    <t>Arue</t>
  </si>
  <si>
    <t>LE PRINCE Serge</t>
  </si>
  <si>
    <t>89 78 91 14</t>
  </si>
  <si>
    <t>lpeserge@gmail.com</t>
  </si>
  <si>
    <t>Budokan Judo Pirae</t>
  </si>
  <si>
    <t>Judo / Kendo</t>
  </si>
  <si>
    <t>NICOLLIN Lavaïna</t>
  </si>
  <si>
    <t>87 30 97 20</t>
  </si>
  <si>
    <t>budokanjudopirae@gmail.com</t>
  </si>
  <si>
    <t>Tahiti English School</t>
  </si>
  <si>
    <t>Langue anglaise</t>
  </si>
  <si>
    <t>BOVE Johanna</t>
  </si>
  <si>
    <t>89 72 24 80</t>
  </si>
  <si>
    <t>tahitienglishschool@gmail.com</t>
  </si>
  <si>
    <t>3TBC</t>
  </si>
  <si>
    <t>Boxe anglaise</t>
  </si>
  <si>
    <t>Lotus Bleu</t>
  </si>
  <si>
    <t>Langue chinoise</t>
  </si>
  <si>
    <t>LI Niannian</t>
  </si>
  <si>
    <t>87 30 36 66</t>
  </si>
  <si>
    <t>lotusbleu.tahiti@gmail.com</t>
  </si>
  <si>
    <t>AS JT – Les jeunes Tahitiens</t>
  </si>
  <si>
    <t>Multisports</t>
  </si>
  <si>
    <t>Riding Team Tahiti</t>
  </si>
  <si>
    <t>Cyclisme / BMX</t>
  </si>
  <si>
    <t>CHONFON Heimata</t>
  </si>
  <si>
    <t>87 77 91 16</t>
  </si>
  <si>
    <t>ridineteamtahiti@gmail.com</t>
  </si>
  <si>
    <t>Cercle des Nageurs de Polynésie</t>
  </si>
  <si>
    <t>CAPPARELLI Alexandre</t>
  </si>
  <si>
    <t>87 78 72 28</t>
  </si>
  <si>
    <t>resp-natation-course@cn-polynesie.com</t>
  </si>
  <si>
    <t>Fines lames d'Arue</t>
  </si>
  <si>
    <t>Soleil Levant</t>
  </si>
  <si>
    <t>Japonais / Langue</t>
  </si>
  <si>
    <t>soleil.levant.nihongo@gmail.com</t>
  </si>
  <si>
    <t>Exelsior Taekwondo</t>
  </si>
  <si>
    <t>ADAT</t>
  </si>
  <si>
    <t>Athlétisme / Lecture</t>
  </si>
  <si>
    <t>Taravao</t>
  </si>
  <si>
    <t>CNBP – Voile Baie Phaeton</t>
  </si>
  <si>
    <t>Voile</t>
  </si>
  <si>
    <t>DE PREVILLE Gilles</t>
  </si>
  <si>
    <t>87 75 70 11</t>
  </si>
  <si>
    <t>cnbp@outlook.fr</t>
  </si>
  <si>
    <t>Ecole de danse Mono'ihere</t>
  </si>
  <si>
    <t>Danse Polynésienne</t>
  </si>
  <si>
    <t>ALEXANDRE Augustin</t>
  </si>
  <si>
    <t>87 30 17 83</t>
  </si>
  <si>
    <t>monoihereoritahiti@gmail.com</t>
  </si>
  <si>
    <t>English Club de Taravao</t>
  </si>
  <si>
    <t>Origami Art Tahiti Iti</t>
  </si>
  <si>
    <t>Origami / Art japonais</t>
  </si>
  <si>
    <t>EGUCHI Aya</t>
  </si>
  <si>
    <t>87 28 11 98</t>
  </si>
  <si>
    <t>eguchiaya@gmail.com</t>
  </si>
  <si>
    <t>Anset Assurances</t>
  </si>
  <si>
    <t>Assurance</t>
  </si>
  <si>
    <t>COTTANCEAU Christelle</t>
  </si>
  <si>
    <t>40 50 93 50</t>
  </si>
  <si>
    <t>secretariat@anset.pf</t>
  </si>
  <si>
    <t>Moeata Ori Tahiti</t>
  </si>
  <si>
    <t>LAUGHLIN Moeta</t>
  </si>
  <si>
    <t>89 78 69 67</t>
  </si>
  <si>
    <t>wickylaughlin@gmail.com</t>
  </si>
  <si>
    <t>Surf Hitinui</t>
  </si>
  <si>
    <t>Surf</t>
  </si>
  <si>
    <t>Doumé</t>
  </si>
  <si>
    <t>87 73 14 21</t>
  </si>
  <si>
    <t>surfhitinui@gmail.com</t>
  </si>
  <si>
    <t>Club Karaté de Taravao</t>
  </si>
  <si>
    <t>Karaté</t>
  </si>
  <si>
    <t>Taravao Basket Ball (Toroz's)</t>
  </si>
  <si>
    <t>Basket-ball</t>
  </si>
  <si>
    <t>Tahitian Martial Spirit</t>
  </si>
  <si>
    <t>Taekwondo / Jujitsu</t>
  </si>
  <si>
    <t>Atelier des Lumières</t>
  </si>
  <si>
    <t>Soutien scolaire</t>
  </si>
  <si>
    <t>Tahiti Iti Natation</t>
  </si>
  <si>
    <t>Tahiti Iti Natation Sauvetage</t>
  </si>
  <si>
    <t>Kids Time Taravao</t>
  </si>
  <si>
    <t>Éveil enfant / Loisirs</t>
  </si>
  <si>
    <t>ELLACOTT Maeva</t>
  </si>
  <si>
    <t>87 29 97 65</t>
  </si>
  <si>
    <t>kidstimetaravao@gmail.com</t>
  </si>
  <si>
    <t>Danse Vahinerii</t>
  </si>
  <si>
    <t>BRODIEN Tuiana</t>
  </si>
  <si>
    <t>87 35 64 54</t>
  </si>
  <si>
    <t>brodientuiana@gmail.com</t>
  </si>
  <si>
    <t>Le Roseau</t>
  </si>
  <si>
    <t>TCHEN Gilbert</t>
  </si>
  <si>
    <t>87 73 48 48</t>
  </si>
  <si>
    <t>roseaul@mail.pf</t>
  </si>
  <si>
    <t>Dojo Takemusu</t>
  </si>
  <si>
    <t>Arts martiaux</t>
  </si>
  <si>
    <t>Xavier</t>
  </si>
  <si>
    <t>87 27 81 54</t>
  </si>
  <si>
    <t>heitefau@gmail.com</t>
  </si>
  <si>
    <t>Club d'Escrime Taravao</t>
  </si>
  <si>
    <t>Chat Pito</t>
  </si>
  <si>
    <t>Artisanat / Loisirs</t>
  </si>
  <si>
    <t>Mahina</t>
  </si>
  <si>
    <t>HILDEVERT</t>
  </si>
  <si>
    <t>87 70 60 39</t>
  </si>
  <si>
    <t>chatpito.tahiti@gmail.com</t>
  </si>
  <si>
    <t>Wind Chasers Tahiti</t>
  </si>
  <si>
    <t>Kitesurf / Windsurf</t>
  </si>
  <si>
    <t>ELISE</t>
  </si>
  <si>
    <t>89 53 08 14</t>
  </si>
  <si>
    <t>windchaserstahiti@gmail.com</t>
  </si>
  <si>
    <t>Percussions Brésiliennes Mahina</t>
  </si>
  <si>
    <t>Percussions brésiliennes</t>
  </si>
  <si>
    <t>gilpapara@gmail.com</t>
  </si>
  <si>
    <t>Triathlon Tahiti</t>
  </si>
  <si>
    <t>Triathlon</t>
  </si>
  <si>
    <t>Garderie Mahina</t>
  </si>
  <si>
    <t>Garderie</t>
  </si>
  <si>
    <t>PROSPECTION &amp; MAILING — FORUM DE LA RENTRÉE 2026  |  14-15 août  |  6 sites Pacific Centers</t>
  </si>
  <si>
    <t>IDENTITÉ STRUCTURE</t>
  </si>
  <si>
    <t>STATUT</t>
  </si>
  <si>
    <t>MAILING</t>
  </si>
  <si>
    <t>NOTES &amp; SUIVI</t>
  </si>
  <si>
    <t>Structure / Exposant</t>
  </si>
  <si>
    <t>Site</t>
  </si>
  <si>
    <t>Mail structure</t>
  </si>
  <si>
    <t>Statut prospection</t>
  </si>
  <si>
    <t>Mail envoyé</t>
  </si>
  <si>
    <t>Convention</t>
  </si>
  <si>
    <t>Caution</t>
  </si>
  <si>
    <t>Date contact</t>
  </si>
  <si>
    <t>Notes</t>
  </si>
  <si>
    <t>Gilles</t>
  </si>
  <si>
    <t>▼  PROSPECTS MAILING LIST — structures non encore dans la base historique  (à qualifier)</t>
  </si>
  <si>
    <t>Yoga Tahiti (Alwine)</t>
  </si>
  <si>
    <t>alwine.yoga@gmail.com</t>
  </si>
  <si>
    <t>Prospect</t>
  </si>
  <si>
    <t>Prospect mailing</t>
  </si>
  <si>
    <t>Sunny Park</t>
  </si>
  <si>
    <t>Loisirs / Enfants</t>
  </si>
  <si>
    <t>directionsunnypark@gmail.com</t>
  </si>
  <si>
    <t>Frédéric Diaz (Anglais)</t>
  </si>
  <si>
    <t>Cours d'anglais</t>
  </si>
  <si>
    <t>fredericdiaz@live.fr</t>
  </si>
  <si>
    <t>Francine Passal</t>
  </si>
  <si>
    <t>À identifier</t>
  </si>
  <si>
    <t>francinepassal@gmail.com</t>
  </si>
  <si>
    <t>Cercle Nautique Polynésie</t>
  </si>
  <si>
    <t>Natation / Voile</t>
  </si>
  <si>
    <t>direction.cnp@gmail.com</t>
  </si>
  <si>
    <t>Centre de danse Tschan (secr.)</t>
  </si>
  <si>
    <t>secretariat.tschan@gmail.com</t>
  </si>
  <si>
    <t>Alexandre Bertrand</t>
  </si>
  <si>
    <t>Arts martiaux / Judo</t>
  </si>
  <si>
    <t>alexandre.bertrand@lwane.com</t>
  </si>
  <si>
    <t>Ecole de danse Hana</t>
  </si>
  <si>
    <t>ecolededansehana@gmail.com</t>
  </si>
  <si>
    <t>Bubble Com Tahiti</t>
  </si>
  <si>
    <t>Communication / Loisirs</t>
  </si>
  <si>
    <t>bubblecomtahiti@gmail.com</t>
  </si>
  <si>
    <t>Marc Tiaitau</t>
  </si>
  <si>
    <t>marctiaitau@yahoo.fr</t>
  </si>
  <si>
    <t>mainamu2004@yahoo.fr</t>
  </si>
  <si>
    <t>Nathalie Tavita</t>
  </si>
  <si>
    <t>Taekwondo (Tefana)</t>
  </si>
  <si>
    <t>nathalietavita@gmail.com</t>
  </si>
  <si>
    <t>Alfred Laikousing</t>
  </si>
  <si>
    <t>alfred.laikousing@gmail.com</t>
  </si>
  <si>
    <t>Surf School Tahiti</t>
  </si>
  <si>
    <t>surfschool@mail.pf</t>
  </si>
  <si>
    <t>IJSPF</t>
  </si>
  <si>
    <t>Sport / Formation</t>
  </si>
  <si>
    <t>sylvain.defaix@ijspf.pf</t>
  </si>
  <si>
    <t>Alex Deliere</t>
  </si>
  <si>
    <t>alexdeliere@hotmail.com</t>
  </si>
  <si>
    <t>Carolo Lo Tahiti</t>
  </si>
  <si>
    <t>carololo.tahiti@mail.pf</t>
  </si>
  <si>
    <t>Claire Jovet</t>
  </si>
  <si>
    <t>clairejovet@gmail.com</t>
  </si>
  <si>
    <t>Le Roseau (variante mail)</t>
  </si>
  <si>
    <t>roseau1@mail.pf</t>
  </si>
  <si>
    <t>Académie Annie Fayn (Marion)</t>
  </si>
  <si>
    <t>marion@mail.pf</t>
  </si>
  <si>
    <t>Kids Time Taravao (Maeva)</t>
  </si>
  <si>
    <t>maeva.ellacott@gmail.com</t>
  </si>
  <si>
    <t>Vaihere Teauroa</t>
  </si>
  <si>
    <t>vaihere.teauroa@lwane.com</t>
  </si>
  <si>
    <t>Teroro Shan</t>
  </si>
  <si>
    <t>teroro.shan@gmail.com</t>
  </si>
  <si>
    <t>Frédéric Bourgoin</t>
  </si>
  <si>
    <t>bourgoinfrederic@gmail.com</t>
  </si>
  <si>
    <t>Manohi Va'a Ori Tahiti</t>
  </si>
  <si>
    <t>Ori Tahiti / Va'a</t>
  </si>
  <si>
    <t>manohivaoritahiti@gmail.com</t>
  </si>
  <si>
    <t>Centre de danse (générique)</t>
  </si>
  <si>
    <t>centrededanse@gmail.com</t>
  </si>
  <si>
    <t>Manihiki</t>
  </si>
  <si>
    <t>manihiki07@gmail.com</t>
  </si>
  <si>
    <t>Guillaume Clarys</t>
  </si>
  <si>
    <t>guillaumeclarys@gmail.com</t>
  </si>
  <si>
    <t>Centre de danse Tamanu</t>
  </si>
  <si>
    <t>centrededanse.tamanu@gmail.com</t>
  </si>
  <si>
    <t>Polynélivre (Sophie Baptendier)</t>
  </si>
  <si>
    <t>c.baptendier@mail.pf</t>
  </si>
  <si>
    <t>M Pol'Arts Studios</t>
  </si>
  <si>
    <t>Arts / Loisirs</t>
  </si>
  <si>
    <t>mpolarts.studios@gmail.com</t>
  </si>
  <si>
    <t>Taekwondo Faa'a (Teto)</t>
  </si>
  <si>
    <t>tetoafaaatkd@mail.pf</t>
  </si>
  <si>
    <t>Guilde des Aventuriers</t>
  </si>
  <si>
    <t>Jeux / Loisirs</t>
  </si>
  <si>
    <t>g.aventuriers@gmail.com</t>
  </si>
  <si>
    <t>Doceo Formation</t>
  </si>
  <si>
    <t>Soutien scolaire / Formation</t>
  </si>
  <si>
    <t>doceo@doceo.pf</t>
  </si>
  <si>
    <t>Ecole de Comédie Musicale</t>
  </si>
  <si>
    <t>Musique / Théâtre</t>
  </si>
  <si>
    <t>ecolecomediemusicale@hotmail.fr</t>
  </si>
  <si>
    <t>Aviron Polynésie (variante)</t>
  </si>
  <si>
    <t>avironpolynesie@gmail.com</t>
  </si>
  <si>
    <t>Vaheana School</t>
  </si>
  <si>
    <t>Education / École</t>
  </si>
  <si>
    <t>contact@vaheana.school</t>
  </si>
  <si>
    <t>Contact Taravao B</t>
  </si>
  <si>
    <t>taravaob@gmail.com</t>
  </si>
  <si>
    <t>Brico Lab Tahiti</t>
  </si>
  <si>
    <t>Bricolage / FabLab</t>
  </si>
  <si>
    <t>bricolab.tahiti@gmail.com</t>
  </si>
  <si>
    <t>Sandy Tahiti</t>
  </si>
  <si>
    <t>sandytahiti@live.fr</t>
  </si>
  <si>
    <t>Tamawinsy</t>
  </si>
  <si>
    <t>tamawinsy@gmail.com</t>
  </si>
  <si>
    <t>Go Baby Gym Tahiti</t>
  </si>
  <si>
    <t>Éveil enfant / Gym</t>
  </si>
  <si>
    <t>tahiti@gobabygym.com</t>
  </si>
  <si>
    <t>Forre O Tahiti</t>
  </si>
  <si>
    <t>forreotahiti026@gmail.com</t>
  </si>
  <si>
    <t>Kids School Tahiti</t>
  </si>
  <si>
    <t>Education enfants</t>
  </si>
  <si>
    <t>kidsschooltahiti@gmail.com</t>
  </si>
  <si>
    <t>Ecole Fare Musique</t>
  </si>
  <si>
    <t>ecolefaremusique@gmail.com</t>
  </si>
  <si>
    <t>Music Hall de Tahiti</t>
  </si>
  <si>
    <t>Musique / Spectacle</t>
  </si>
  <si>
    <t>musichalldetahiti@gmail.com</t>
  </si>
  <si>
    <t>Algora Tahiti</t>
  </si>
  <si>
    <t>Soutien scolaire / Musique</t>
  </si>
  <si>
    <t>algora.tahiti@gmail.com</t>
  </si>
  <si>
    <t>Ecole de Piano Tahiti</t>
  </si>
  <si>
    <t>Musique / Piano</t>
  </si>
  <si>
    <t>ecolepianotahiti@gmail.com</t>
  </si>
  <si>
    <t>Michel Demont</t>
  </si>
  <si>
    <t>michel.demont@hotmail.fr</t>
  </si>
  <si>
    <t>Christiane Poroi</t>
  </si>
  <si>
    <t>christiane.poroi@gmail.com</t>
  </si>
  <si>
    <t>Aio Tahiti</t>
  </si>
  <si>
    <t>contacts.aiotahiti@gmail.com</t>
  </si>
  <si>
    <t>Les Petits Motu</t>
  </si>
  <si>
    <t>lepitimotu@gmail.com</t>
  </si>
  <si>
    <t>Va'a Voile Tahiti</t>
  </si>
  <si>
    <t>Va'a / Voile</t>
  </si>
  <si>
    <t>vaavoile@gmail.com</t>
  </si>
  <si>
    <t>Wu Style Tahiti</t>
  </si>
  <si>
    <t>wustyletahiti@gmail.com</t>
  </si>
  <si>
    <t>RÉCAPITULATIF PAR SITE — HISTORIQUE &amp; OBJECTIFS 2026</t>
  </si>
  <si>
    <t>Total uniques</t>
  </si>
  <si>
    <t>Obj. 2026</t>
  </si>
  <si>
    <t>Progression</t>
  </si>
  <si>
    <t>TOTAL</t>
  </si>
  <si>
    <t>LÉGENDE — FORUM DE LA RENTRÉE 2026</t>
  </si>
  <si>
    <t>COULEURS SITES</t>
  </si>
  <si>
    <t>Pacific Center Faa'a</t>
  </si>
  <si>
    <t>3 éditions ou plus</t>
  </si>
  <si>
    <t>Pacific Center Punaauia</t>
  </si>
  <si>
    <t>2 éditions</t>
  </si>
  <si>
    <t>Pacific Center Arue</t>
  </si>
  <si>
    <t>1 édition</t>
  </si>
  <si>
    <t>Pacific Center Taravao</t>
  </si>
  <si>
    <t>2019-2020 uniquement</t>
  </si>
  <si>
    <t>Présent sur ≥2 sites</t>
  </si>
  <si>
    <t>STATUTS PROSPECTION</t>
  </si>
  <si>
    <t>Pas encore contacté</t>
  </si>
  <si>
    <t>Contacté</t>
  </si>
  <si>
    <t>1er contact effectué</t>
  </si>
  <si>
    <t>Confirmé</t>
  </si>
  <si>
    <t>Accord / convention signée</t>
  </si>
  <si>
    <t>Relance</t>
  </si>
  <si>
    <t>En attente de réponse</t>
  </si>
  <si>
    <t>Annulé</t>
  </si>
  <si>
    <t>Annulation confirmée</t>
  </si>
  <si>
    <t>Ass. Club Rugby Manu Ura</t>
  </si>
  <si>
    <t>Atelier 203</t>
  </si>
  <si>
    <t xml:space="preserve">Rugby </t>
  </si>
  <si>
    <t xml:space="preserve">Théâtre </t>
  </si>
  <si>
    <t xml:space="preserve">Escrime </t>
  </si>
  <si>
    <t xml:space="preserve">handisport </t>
  </si>
  <si>
    <t xml:space="preserve">surf </t>
  </si>
  <si>
    <t>Demande de stages</t>
  </si>
  <si>
    <t xml:space="preserve">Animation </t>
  </si>
  <si>
    <t xml:space="preserve">Artistiques </t>
  </si>
  <si>
    <t xml:space="preserve">Equitation </t>
  </si>
  <si>
    <t xml:space="preserve">Arue </t>
  </si>
  <si>
    <t>Faaa</t>
  </si>
  <si>
    <t>87 76 11 31</t>
  </si>
  <si>
    <t>87 76 09 20</t>
  </si>
  <si>
    <t xml:space="preserve">Danse </t>
  </si>
  <si>
    <t xml:space="preserve">Stage de vacances </t>
  </si>
  <si>
    <t>MMA</t>
  </si>
  <si>
    <t>moto</t>
  </si>
  <si>
    <t xml:space="preserve">Fédération polynésienne de judo </t>
  </si>
  <si>
    <t xml:space="preserve">Judo </t>
  </si>
  <si>
    <t>87 71 19 85</t>
  </si>
  <si>
    <t>president@fpj.pf</t>
  </si>
  <si>
    <t>Fédération de Motocyclisme de PF</t>
  </si>
  <si>
    <t>Moto</t>
  </si>
  <si>
    <t xml:space="preserve">87 76 86 76 </t>
  </si>
  <si>
    <t>fmpf.moto@gmail.com</t>
  </si>
  <si>
    <t xml:space="preserve">Fédération Tahitienne de natation </t>
  </si>
  <si>
    <t>87 79 93 08</t>
  </si>
  <si>
    <t xml:space="preserve">michel.sommers@edt.engie.pf </t>
  </si>
  <si>
    <t>Michèle KIENTZ</t>
  </si>
  <si>
    <t xml:space="preserve">Soutein scolaire </t>
  </si>
  <si>
    <t>89 26 53 06</t>
  </si>
  <si>
    <t>tapaoaroha@yahoo.fr</t>
  </si>
  <si>
    <t>Ass. PUNA REO PIHAENA</t>
  </si>
  <si>
    <t xml:space="preserve">Centre périscolaire </t>
  </si>
  <si>
    <t xml:space="preserve">87 74 03 34 </t>
  </si>
  <si>
    <t>rurua@mail.pf</t>
  </si>
  <si>
    <t xml:space="preserve">Ecole de percussions </t>
  </si>
  <si>
    <t>87 29 97 35</t>
  </si>
  <si>
    <t xml:space="preserve">samuel.teriimana@gmail.com </t>
  </si>
  <si>
    <t xml:space="preserve"> CO MUSIC SCHOOL Samuel Teriimana </t>
  </si>
  <si>
    <t>Ecole de danse MANOHIVA Taravao</t>
  </si>
  <si>
    <t>89 40 95 95</t>
  </si>
  <si>
    <t xml:space="preserve">Ass. Te Tere - Roller Tahiti </t>
  </si>
  <si>
    <t xml:space="preserve">Roller </t>
  </si>
  <si>
    <t>87 33 65 08</t>
  </si>
  <si>
    <t>teretahiti@protonmail.com</t>
  </si>
  <si>
    <t xml:space="preserve">Tennis </t>
  </si>
  <si>
    <t>Manu Ura Tennis - Delphine METUA</t>
  </si>
  <si>
    <t xml:space="preserve">89 72 19 70 </t>
  </si>
  <si>
    <t>Ecole de Judo - Arnaud BERTRAND</t>
  </si>
  <si>
    <t xml:space="preserve">John </t>
  </si>
  <si>
    <t xml:space="preserve">ARUE, FAAA et PUNAAUIA </t>
  </si>
  <si>
    <t>89 36 31 54</t>
  </si>
  <si>
    <t>polynelivre@gmail.com</t>
  </si>
  <si>
    <t xml:space="preserve">TARAVAO, FAAA et PUNAAUIA </t>
  </si>
  <si>
    <t>TARAVAO</t>
  </si>
  <si>
    <t xml:space="preserve">SITES </t>
  </si>
  <si>
    <t>FAAA</t>
  </si>
  <si>
    <t>ARUE et FAAA</t>
  </si>
  <si>
    <t xml:space="preserve">Eric Goalard </t>
  </si>
  <si>
    <t>87 71 55 41</t>
  </si>
  <si>
    <t>MOUFAT Taina</t>
  </si>
  <si>
    <t>89 76 61 40</t>
  </si>
  <si>
    <t>87 74 64 06</t>
  </si>
  <si>
    <t>Poly Robots Tahiti</t>
  </si>
  <si>
    <t>89 41 23 69</t>
  </si>
  <si>
    <t>polynesianrobots@gmail.com</t>
  </si>
  <si>
    <t>Tahiti Nui</t>
  </si>
  <si>
    <t>Divers</t>
  </si>
  <si>
    <t>87 71 18 23</t>
  </si>
  <si>
    <t>contact@atelier203.com</t>
  </si>
  <si>
    <t>tapu.teina0210@gmail.com</t>
  </si>
  <si>
    <t xml:space="preserve">Fédération polynésien des sports adapté et handisport </t>
  </si>
  <si>
    <t xml:space="preserve">87 72 97 62 </t>
  </si>
  <si>
    <t>vake.rh@hotmail.fr</t>
  </si>
  <si>
    <t>Handisport</t>
  </si>
  <si>
    <t xml:space="preserve">Arearea surf adventures </t>
  </si>
  <si>
    <t>89 51 15 13</t>
  </si>
  <si>
    <t>evatara@hotmail.fr</t>
  </si>
  <si>
    <t xml:space="preserve">Taiarapu Boxing Club </t>
  </si>
  <si>
    <t>87 31 93 33</t>
  </si>
  <si>
    <t>msvanina@live.fr</t>
  </si>
  <si>
    <t xml:space="preserve">Ta'iara Pro </t>
  </si>
  <si>
    <t>87 70 52 63</t>
  </si>
  <si>
    <t>contact@taiara.net</t>
  </si>
  <si>
    <t xml:space="preserve">Demande de stage </t>
  </si>
  <si>
    <t xml:space="preserve">Teiva </t>
  </si>
  <si>
    <t xml:space="preserve">Tahia - Soutien Scolaire </t>
  </si>
  <si>
    <t>87 72 33 47</t>
  </si>
  <si>
    <t xml:space="preserve">tahiad07@yahoo.fr </t>
  </si>
  <si>
    <t>L'eperon de Tahiti</t>
  </si>
  <si>
    <t>87 71 20 10</t>
  </si>
  <si>
    <t>raphael@eperondetahiti.com</t>
  </si>
  <si>
    <t xml:space="preserve">Ecole de danse LEHIA </t>
  </si>
  <si>
    <t xml:space="preserve">89 78 68 79 </t>
  </si>
  <si>
    <t>cyrle37@gmail.com</t>
  </si>
  <si>
    <t>Centre de vacances</t>
  </si>
  <si>
    <t xml:space="preserve">Ecole de Percussions </t>
  </si>
  <si>
    <t>87 26 27 55</t>
  </si>
  <si>
    <t>escrime.taravao@gmail.com</t>
  </si>
  <si>
    <t>Sylvère Rose</t>
  </si>
  <si>
    <t>Kamia Henriette</t>
  </si>
  <si>
    <t xml:space="preserve">Alfred Lai Koun Sing </t>
  </si>
  <si>
    <t xml:space="preserve">87 77 26 16 </t>
  </si>
  <si>
    <t>international@polynesiataekwondo.org</t>
  </si>
  <si>
    <t>John - Secrétariat</t>
  </si>
  <si>
    <t xml:space="preserve">Kamia Henriette </t>
  </si>
  <si>
    <t>Eva Tarahu</t>
  </si>
  <si>
    <t>Raphaël Mérel</t>
  </si>
  <si>
    <t xml:space="preserve">Line </t>
  </si>
  <si>
    <t xml:space="preserve">Manu Ura Tennis </t>
  </si>
  <si>
    <t>Delphine METUA</t>
  </si>
  <si>
    <t xml:space="preserve">Pouena Stefano </t>
  </si>
  <si>
    <t>89 71 76 31</t>
  </si>
  <si>
    <t>p.setefano77@yahoo.co.nz</t>
  </si>
  <si>
    <t xml:space="preserve">Axelle Plaire </t>
  </si>
  <si>
    <t xml:space="preserve">Guillaume Clarys </t>
  </si>
  <si>
    <t xml:space="preserve">87 20 72 05 </t>
  </si>
  <si>
    <t>contact@polykids.pf</t>
  </si>
  <si>
    <t>Solène</t>
  </si>
  <si>
    <t>Michel sommers</t>
  </si>
  <si>
    <t xml:space="preserve">Ecole de surf Itinui </t>
  </si>
  <si>
    <t xml:space="preserve">Surf </t>
  </si>
  <si>
    <t>Doumé Guérin</t>
  </si>
  <si>
    <t xml:space="preserve">87 73 14 21 </t>
  </si>
  <si>
    <t>surfitinui@gmail.com</t>
  </si>
  <si>
    <t>Lehia</t>
  </si>
  <si>
    <t>Tahia Duong</t>
  </si>
  <si>
    <t>Henriette KAMIA</t>
  </si>
  <si>
    <t>Taputua Teinauri</t>
  </si>
  <si>
    <t>Ismael Tahiata</t>
  </si>
  <si>
    <t xml:space="preserve">87 79 70 65 </t>
  </si>
  <si>
    <t>fbatahiti2011@yahoo.fr</t>
  </si>
  <si>
    <t>Jean Marc CUNEO</t>
  </si>
  <si>
    <t>87 78 40 00</t>
  </si>
  <si>
    <t>jeanmarccuneo@gmail.com</t>
  </si>
  <si>
    <t>Arnaud Bertrand</t>
  </si>
  <si>
    <t xml:space="preserve">Tuheiava Thierry </t>
  </si>
  <si>
    <t>Samuel Teriimana</t>
  </si>
  <si>
    <t xml:space="preserve">Okuba </t>
  </si>
  <si>
    <t>87 21 77 80</t>
  </si>
  <si>
    <t>Equitation</t>
  </si>
  <si>
    <t>Rollers</t>
  </si>
  <si>
    <t>Tennis</t>
  </si>
  <si>
    <t>Toofa Steve</t>
  </si>
  <si>
    <t xml:space="preserve">Lee Wing Ben </t>
  </si>
  <si>
    <t>Olympique de Polynésie</t>
  </si>
  <si>
    <t>Charlotte</t>
  </si>
  <si>
    <t>FORUM DE LA RENTRÉE 2026 — BASE EXPOSANTS CONSOLIDÉE (2019–2025)  |  76 exposants recensés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</si>
</sst>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8"/>
      <color rgb="FFFFFFFF"/>
      <name val="Arial"/>
      <family val="2"/>
    </font>
    <font>
      <b/>
      <sz val="9"/>
      <color rgb="FFFFFFFF"/>
      <name val="Arial"/>
      <family val="2"/>
    </font>
    <font>
      <sz val="8"/>
      <name val="Arial"/>
      <family val="2"/>
    </font>
    <font>
      <sz val="8"/>
      <color rgb="FFBBBBBB"/>
      <name val="Arial"/>
      <family val="2"/>
    </font>
    <font>
      <b/>
      <sz val="9"/>
      <color rgb="FF1E4620"/>
      <name val="Arial"/>
      <family val="2"/>
    </font>
    <font>
      <b/>
      <sz val="8"/>
      <name val="Arial"/>
      <family val="2"/>
    </font>
    <font>
      <sz val="8"/>
      <color rgb="FF6A1B9A"/>
      <name val="Arial"/>
      <family val="2"/>
    </font>
    <font>
      <b/>
      <sz val="11"/>
      <color rgb="FFFFFFFF"/>
      <name val="Arial"/>
      <family val="2"/>
    </font>
    <font>
      <b/>
      <sz val="9"/>
      <color rgb="FF231F20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rgb="FFE8500A"/>
      <name val="Arial"/>
      <family val="2"/>
    </font>
    <font>
      <b/>
      <sz val="9"/>
      <color rgb="FF2E7D32"/>
      <name val="Arial"/>
      <family val="2"/>
    </font>
    <font>
      <sz val="8"/>
      <name val="Arial"/>
      <family val="2"/>
    </font>
    <font>
      <b/>
      <sz val="8"/>
      <color rgb="FFFFFFFF"/>
      <name val="Arial"/>
      <family val="2"/>
    </font>
    <font>
      <u/>
      <sz val="11"/>
      <color theme="10"/>
      <name val="Calibri"/>
      <family val="2"/>
      <charset val="1"/>
    </font>
  </fonts>
  <fills count="48">
    <fill>
      <patternFill patternType="none"/>
    </fill>
    <fill>
      <patternFill patternType="gray125"/>
    </fill>
    <fill>
      <patternFill patternType="solid">
        <fgColor rgb="FF231F20"/>
        <bgColor rgb="FF1E4620"/>
      </patternFill>
    </fill>
    <fill>
      <patternFill patternType="solid">
        <fgColor rgb="FF555555"/>
        <bgColor rgb="FF444444"/>
      </patternFill>
    </fill>
    <fill>
      <patternFill patternType="solid">
        <fgColor rgb="FF7B3F00"/>
        <bgColor rgb="FF444444"/>
      </patternFill>
    </fill>
    <fill>
      <patternFill patternType="solid">
        <fgColor rgb="FF1F4E79"/>
        <bgColor rgb="FF2E5FA3"/>
      </patternFill>
    </fill>
    <fill>
      <patternFill patternType="solid">
        <fgColor rgb="FFE8500A"/>
        <bgColor rgb="FFD35400"/>
      </patternFill>
    </fill>
    <fill>
      <patternFill patternType="solid">
        <fgColor rgb="FF2E7D32"/>
        <bgColor rgb="FF008000"/>
      </patternFill>
    </fill>
    <fill>
      <patternFill patternType="solid">
        <fgColor rgb="FF444444"/>
        <bgColor rgb="FF555555"/>
      </patternFill>
    </fill>
    <fill>
      <patternFill patternType="solid">
        <fgColor rgb="FFF4F4F4"/>
        <bgColor rgb="FFE8F5E9"/>
      </patternFill>
    </fill>
    <fill>
      <patternFill patternType="solid">
        <fgColor rgb="FF1A7FA1"/>
        <bgColor rgb="FF008080"/>
      </patternFill>
    </fill>
    <fill>
      <patternFill patternType="solid">
        <fgColor rgb="FFE8E8E8"/>
        <bgColor rgb="FFEDE7F6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F0FFF0"/>
        <bgColor rgb="FFF4F4F4"/>
      </patternFill>
    </fill>
    <fill>
      <patternFill patternType="solid">
        <fgColor rgb="FFFFFFFF"/>
        <bgColor rgb="FFF0FFF0"/>
      </patternFill>
    </fill>
    <fill>
      <patternFill patternType="solid">
        <fgColor rgb="FF2E5FA3"/>
        <bgColor rgb="FF1F4E79"/>
      </patternFill>
    </fill>
    <fill>
      <patternFill patternType="solid">
        <fgColor rgb="FFE2EFDA"/>
        <bgColor rgb="FFE8F5E9"/>
      </patternFill>
    </fill>
    <fill>
      <patternFill patternType="solid">
        <fgColor rgb="FFC0392B"/>
        <bgColor rgb="FFD35400"/>
      </patternFill>
    </fill>
    <fill>
      <patternFill patternType="solid">
        <fgColor rgb="FFD35400"/>
        <bgColor rgb="FFE8500A"/>
      </patternFill>
    </fill>
    <fill>
      <patternFill patternType="solid">
        <fgColor rgb="FF7B3F8C"/>
        <bgColor rgb="FF8E24AA"/>
      </patternFill>
    </fill>
    <fill>
      <patternFill patternType="solid">
        <fgColor rgb="FF8E24AA"/>
        <bgColor rgb="FF6A1B9A"/>
      </patternFill>
    </fill>
    <fill>
      <patternFill patternType="solid">
        <fgColor rgb="FFF3E5F5"/>
        <bgColor rgb="FFEDE7F6"/>
      </patternFill>
    </fill>
    <fill>
      <patternFill patternType="solid">
        <fgColor rgb="FFC9BC9E"/>
        <bgColor rgb="FFBBBBBB"/>
      </patternFill>
    </fill>
    <fill>
      <patternFill patternType="solid">
        <fgColor rgb="FFEDE7F6"/>
        <bgColor rgb="FFF3E5F5"/>
      </patternFill>
    </fill>
    <fill>
      <patternFill patternType="solid">
        <fgColor rgb="FFFFE0CC"/>
        <bgColor rgb="FFFCE4D6"/>
      </patternFill>
    </fill>
    <fill>
      <patternFill patternType="solid">
        <fgColor rgb="FFE8F5E9"/>
        <bgColor rgb="FFE2EFDA"/>
      </patternFill>
    </fill>
    <fill>
      <patternFill patternType="solid">
        <fgColor rgb="FFBDD7EE"/>
        <bgColor rgb="FFCCCCCC"/>
      </patternFill>
    </fill>
    <fill>
      <patternFill patternType="solid">
        <fgColor rgb="FFFCE4D6"/>
        <bgColor rgb="FFFFE0CC"/>
      </patternFill>
    </fill>
    <fill>
      <patternFill patternType="solid">
        <fgColor rgb="FFFFC7CE"/>
        <bgColor rgb="FFFFE0CC"/>
      </patternFill>
    </fill>
    <fill>
      <patternFill patternType="solid">
        <fgColor rgb="FF00823B"/>
        <bgColor rgb="FFE8500A"/>
      </patternFill>
    </fill>
    <fill>
      <patternFill patternType="solid">
        <fgColor rgb="FFC00000"/>
        <bgColor rgb="FFE8500A"/>
      </patternFill>
    </fill>
    <fill>
      <patternFill patternType="solid">
        <fgColor theme="3"/>
        <bgColor rgb="FFE8500A"/>
      </patternFill>
    </fill>
    <fill>
      <patternFill patternType="solid">
        <fgColor theme="9" tint="-0.249977111117893"/>
        <bgColor rgb="FFE8500A"/>
      </patternFill>
    </fill>
    <fill>
      <patternFill patternType="solid">
        <fgColor theme="0"/>
        <bgColor rgb="FF555555"/>
      </patternFill>
    </fill>
    <fill>
      <patternFill patternType="solid">
        <fgColor rgb="FFC00000"/>
        <bgColor rgb="FFD354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4F4F4"/>
      </patternFill>
    </fill>
    <fill>
      <patternFill patternType="solid">
        <fgColor theme="0"/>
        <bgColor rgb="FFF0FFF0"/>
      </patternFill>
    </fill>
    <fill>
      <patternFill patternType="solid">
        <fgColor theme="0"/>
        <bgColor rgb="FFE8F5E9"/>
      </patternFill>
    </fill>
    <fill>
      <patternFill patternType="solid">
        <fgColor theme="0"/>
        <bgColor rgb="FFE8500A"/>
      </patternFill>
    </fill>
    <fill>
      <patternFill patternType="solid">
        <fgColor theme="0"/>
        <bgColor rgb="FFEDE7F6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8E24AA"/>
      </patternFill>
    </fill>
    <fill>
      <patternFill patternType="solid">
        <fgColor theme="0"/>
        <bgColor rgb="FFE2EFDA"/>
      </patternFill>
    </fill>
    <fill>
      <patternFill patternType="solid">
        <fgColor theme="6" tint="0.79998168889431442"/>
        <bgColor rgb="FFF4F4F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26">
    <xf numFmtId="0" fontId="0" fillId="0" borderId="0" xfId="0"/>
    <xf numFmtId="0" fontId="2" fillId="4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left" vertical="center"/>
    </xf>
    <xf numFmtId="0" fontId="4" fillId="18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19" borderId="1" xfId="0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left" vertical="center"/>
    </xf>
    <xf numFmtId="0" fontId="2" fillId="21" borderId="1" xfId="0" applyFont="1" applyFill="1" applyBorder="1" applyAlignment="1">
      <alignment horizontal="left" vertical="center"/>
    </xf>
    <xf numFmtId="0" fontId="2" fillId="22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/>
    </xf>
    <xf numFmtId="0" fontId="4" fillId="23" borderId="1" xfId="0" applyFont="1" applyFill="1" applyBorder="1" applyAlignment="1">
      <alignment horizontal="center" vertical="center"/>
    </xf>
    <xf numFmtId="0" fontId="0" fillId="24" borderId="1" xfId="0" applyFill="1" applyBorder="1"/>
    <xf numFmtId="0" fontId="8" fillId="25" borderId="1" xfId="0" applyFont="1" applyFill="1" applyBorder="1" applyAlignment="1">
      <alignment horizontal="left" vertical="center"/>
    </xf>
    <xf numFmtId="0" fontId="10" fillId="24" borderId="0" xfId="0" applyFont="1" applyFill="1" applyAlignment="1">
      <alignment horizontal="center" vertical="center" wrapText="1"/>
    </xf>
    <xf numFmtId="0" fontId="11" fillId="17" borderId="1" xfId="0" applyFont="1" applyFill="1" applyBorder="1" applyAlignment="1">
      <alignment horizontal="left" vertical="center"/>
    </xf>
    <xf numFmtId="0" fontId="12" fillId="16" borderId="1" xfId="0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 vertical="center"/>
    </xf>
    <xf numFmtId="0" fontId="14" fillId="26" borderId="1" xfId="0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left" vertical="center"/>
    </xf>
    <xf numFmtId="0" fontId="11" fillId="20" borderId="1" xfId="0" applyFont="1" applyFill="1" applyBorder="1" applyAlignment="1">
      <alignment horizontal="left" vertical="center"/>
    </xf>
    <xf numFmtId="0" fontId="11" fillId="21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3" fillId="24" borderId="1" xfId="0" applyFont="1" applyFill="1" applyBorder="1" applyAlignment="1">
      <alignment horizontal="center" vertical="center"/>
    </xf>
    <xf numFmtId="0" fontId="3" fillId="17" borderId="1" xfId="0" applyFont="1" applyFill="1" applyBorder="1"/>
    <xf numFmtId="0" fontId="12" fillId="0" borderId="1" xfId="0" applyFont="1" applyBorder="1"/>
    <xf numFmtId="0" fontId="13" fillId="13" borderId="1" xfId="0" applyFont="1" applyFill="1" applyBorder="1"/>
    <xf numFmtId="0" fontId="3" fillId="7" borderId="1" xfId="0" applyFont="1" applyFill="1" applyBorder="1"/>
    <xf numFmtId="0" fontId="12" fillId="18" borderId="1" xfId="0" applyFont="1" applyFill="1" applyBorder="1"/>
    <xf numFmtId="0" fontId="3" fillId="19" borderId="1" xfId="0" applyFont="1" applyFill="1" applyBorder="1"/>
    <xf numFmtId="0" fontId="12" fillId="9" borderId="1" xfId="0" applyFont="1" applyFill="1" applyBorder="1"/>
    <xf numFmtId="0" fontId="3" fillId="20" borderId="1" xfId="0" applyFont="1" applyFill="1" applyBorder="1"/>
    <xf numFmtId="0" fontId="3" fillId="21" borderId="1" xfId="0" applyFont="1" applyFill="1" applyBorder="1"/>
    <xf numFmtId="0" fontId="3" fillId="10" borderId="1" xfId="0" applyFont="1" applyFill="1" applyBorder="1"/>
    <xf numFmtId="0" fontId="13" fillId="14" borderId="1" xfId="0" applyFont="1" applyFill="1" applyBorder="1"/>
    <xf numFmtId="0" fontId="0" fillId="0" borderId="1" xfId="0" applyBorder="1"/>
    <xf numFmtId="0" fontId="13" fillId="28" borderId="1" xfId="0" applyFont="1" applyFill="1" applyBorder="1"/>
    <xf numFmtId="0" fontId="13" fillId="12" borderId="1" xfId="0" applyFont="1" applyFill="1" applyBorder="1"/>
    <xf numFmtId="0" fontId="13" fillId="29" borderId="1" xfId="0" applyFont="1" applyFill="1" applyBorder="1"/>
    <xf numFmtId="0" fontId="13" fillId="30" borderId="1" xfId="0" applyFont="1" applyFill="1" applyBorder="1"/>
    <xf numFmtId="0" fontId="4" fillId="16" borderId="2" xfId="0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0" fontId="17" fillId="20" borderId="1" xfId="0" applyFont="1" applyFill="1" applyBorder="1" applyAlignment="1">
      <alignment horizontal="left" vertical="center"/>
    </xf>
    <xf numFmtId="0" fontId="17" fillId="31" borderId="1" xfId="0" applyFont="1" applyFill="1" applyBorder="1" applyAlignment="1">
      <alignment horizontal="left" vertical="center"/>
    </xf>
    <xf numFmtId="0" fontId="2" fillId="31" borderId="1" xfId="0" applyFont="1" applyFill="1" applyBorder="1" applyAlignment="1">
      <alignment horizontal="left" vertical="center"/>
    </xf>
    <xf numFmtId="0" fontId="2" fillId="32" borderId="1" xfId="0" applyFont="1" applyFill="1" applyBorder="1" applyAlignment="1">
      <alignment horizontal="left" vertical="center"/>
    </xf>
    <xf numFmtId="0" fontId="2" fillId="33" borderId="1" xfId="0" applyFont="1" applyFill="1" applyBorder="1" applyAlignment="1">
      <alignment horizontal="left" vertical="center"/>
    </xf>
    <xf numFmtId="0" fontId="17" fillId="32" borderId="1" xfId="0" applyFont="1" applyFill="1" applyBorder="1" applyAlignment="1">
      <alignment horizontal="left" vertical="center"/>
    </xf>
    <xf numFmtId="0" fontId="16" fillId="16" borderId="1" xfId="1" applyFont="1" applyFill="1" applyBorder="1" applyAlignment="1">
      <alignment horizontal="left" vertical="center"/>
    </xf>
    <xf numFmtId="0" fontId="16" fillId="9" borderId="1" xfId="1" applyFont="1" applyFill="1" applyBorder="1" applyAlignment="1">
      <alignment horizontal="left" vertical="center"/>
    </xf>
    <xf numFmtId="0" fontId="17" fillId="33" borderId="1" xfId="0" applyFont="1" applyFill="1" applyBorder="1" applyAlignment="1">
      <alignment horizontal="left" vertical="center"/>
    </xf>
    <xf numFmtId="0" fontId="17" fillId="34" borderId="1" xfId="0" applyFont="1" applyFill="1" applyBorder="1" applyAlignment="1">
      <alignment horizontal="left" vertical="center"/>
    </xf>
    <xf numFmtId="0" fontId="3" fillId="8" borderId="0" xfId="0" applyFont="1" applyFill="1" applyAlignment="1">
      <alignment vertical="center" wrapText="1"/>
    </xf>
    <xf numFmtId="0" fontId="17" fillId="8" borderId="0" xfId="0" applyFont="1" applyFill="1" applyAlignment="1">
      <alignment vertical="center" wrapText="1"/>
    </xf>
    <xf numFmtId="0" fontId="17" fillId="35" borderId="0" xfId="0" applyFont="1" applyFill="1" applyAlignment="1">
      <alignment vertical="center" wrapText="1"/>
    </xf>
    <xf numFmtId="0" fontId="3" fillId="35" borderId="0" xfId="0" applyFont="1" applyFill="1" applyAlignment="1">
      <alignment vertical="center" wrapText="1"/>
    </xf>
    <xf numFmtId="0" fontId="2" fillId="36" borderId="1" xfId="0" applyFont="1" applyFill="1" applyBorder="1" applyAlignment="1">
      <alignment horizontal="left" vertical="center"/>
    </xf>
    <xf numFmtId="0" fontId="2" fillId="34" borderId="1" xfId="0" applyFont="1" applyFill="1" applyBorder="1" applyAlignment="1">
      <alignment horizontal="left" vertical="center"/>
    </xf>
    <xf numFmtId="0" fontId="4" fillId="9" borderId="3" xfId="0" applyFont="1" applyFill="1" applyBorder="1" applyAlignment="1">
      <alignment horizontal="left" vertical="center"/>
    </xf>
    <xf numFmtId="0" fontId="0" fillId="37" borderId="0" xfId="0" applyFill="1"/>
    <xf numFmtId="0" fontId="4" fillId="38" borderId="0" xfId="0" applyFont="1" applyFill="1" applyAlignment="1">
      <alignment horizontal="center" vertical="center"/>
    </xf>
    <xf numFmtId="0" fontId="4" fillId="39" borderId="0" xfId="0" applyFont="1" applyFill="1" applyAlignment="1">
      <alignment horizontal="left" vertical="center"/>
    </xf>
    <xf numFmtId="0" fontId="4" fillId="40" borderId="0" xfId="0" applyFont="1" applyFill="1" applyAlignment="1">
      <alignment horizontal="left" vertical="center"/>
    </xf>
    <xf numFmtId="0" fontId="16" fillId="39" borderId="0" xfId="0" applyFont="1" applyFill="1" applyAlignment="1">
      <alignment horizontal="left" vertical="center"/>
    </xf>
    <xf numFmtId="0" fontId="16" fillId="40" borderId="0" xfId="0" applyFont="1" applyFill="1" applyAlignment="1">
      <alignment horizontal="left" vertical="center"/>
    </xf>
    <xf numFmtId="0" fontId="17" fillId="41" borderId="0" xfId="0" applyFont="1" applyFill="1" applyAlignment="1">
      <alignment horizontal="left" vertical="center"/>
    </xf>
    <xf numFmtId="0" fontId="5" fillId="42" borderId="0" xfId="0" applyFont="1" applyFill="1" applyAlignment="1">
      <alignment horizontal="center" vertical="center"/>
    </xf>
    <xf numFmtId="0" fontId="4" fillId="39" borderId="0" xfId="0" applyFont="1" applyFill="1" applyAlignment="1">
      <alignment horizontal="center" vertical="center"/>
    </xf>
    <xf numFmtId="0" fontId="4" fillId="43" borderId="0" xfId="0" applyFont="1" applyFill="1" applyAlignment="1">
      <alignment horizontal="left" vertical="center"/>
    </xf>
    <xf numFmtId="0" fontId="2" fillId="41" borderId="0" xfId="0" applyFont="1" applyFill="1" applyAlignment="1">
      <alignment horizontal="left" vertical="center"/>
    </xf>
    <xf numFmtId="0" fontId="16" fillId="39" borderId="0" xfId="1" applyFont="1" applyFill="1" applyBorder="1" applyAlignment="1">
      <alignment horizontal="left" vertical="center"/>
    </xf>
    <xf numFmtId="0" fontId="16" fillId="40" borderId="0" xfId="1" applyFont="1" applyFill="1" applyBorder="1" applyAlignment="1">
      <alignment horizontal="left" vertical="center"/>
    </xf>
    <xf numFmtId="0" fontId="2" fillId="44" borderId="1" xfId="0" applyFont="1" applyFill="1" applyBorder="1" applyAlignment="1">
      <alignment horizontal="left" vertical="center"/>
    </xf>
    <xf numFmtId="0" fontId="2" fillId="44" borderId="3" xfId="0" applyFont="1" applyFill="1" applyBorder="1" applyAlignment="1">
      <alignment horizontal="left" vertical="center"/>
    </xf>
    <xf numFmtId="0" fontId="4" fillId="39" borderId="1" xfId="0" applyFont="1" applyFill="1" applyBorder="1" applyAlignment="1">
      <alignment horizontal="left" vertical="center"/>
    </xf>
    <xf numFmtId="0" fontId="5" fillId="42" borderId="1" xfId="0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4" fillId="40" borderId="1" xfId="0" applyFont="1" applyFill="1" applyBorder="1" applyAlignment="1">
      <alignment horizontal="left" vertical="center"/>
    </xf>
    <xf numFmtId="0" fontId="4" fillId="43" borderId="1" xfId="0" applyFont="1" applyFill="1" applyBorder="1" applyAlignment="1">
      <alignment horizontal="left" vertical="center"/>
    </xf>
    <xf numFmtId="0" fontId="4" fillId="40" borderId="1" xfId="0" applyFont="1" applyFill="1" applyBorder="1" applyAlignment="1">
      <alignment horizontal="center" vertical="center"/>
    </xf>
    <xf numFmtId="0" fontId="4" fillId="39" borderId="3" xfId="0" applyFont="1" applyFill="1" applyBorder="1" applyAlignment="1">
      <alignment horizontal="left" vertical="center"/>
    </xf>
    <xf numFmtId="0" fontId="5" fillId="42" borderId="3" xfId="0" applyFont="1" applyFill="1" applyBorder="1" applyAlignment="1">
      <alignment horizontal="center" vertical="center"/>
    </xf>
    <xf numFmtId="0" fontId="4" fillId="39" borderId="3" xfId="0" applyFont="1" applyFill="1" applyBorder="1" applyAlignment="1">
      <alignment horizontal="center" vertical="center"/>
    </xf>
    <xf numFmtId="0" fontId="4" fillId="40" borderId="3" xfId="0" applyFont="1" applyFill="1" applyBorder="1" applyAlignment="1">
      <alignment horizontal="left" vertical="center"/>
    </xf>
    <xf numFmtId="0" fontId="4" fillId="43" borderId="3" xfId="0" applyFont="1" applyFill="1" applyBorder="1" applyAlignment="1">
      <alignment horizontal="left" vertical="center"/>
    </xf>
    <xf numFmtId="0" fontId="4" fillId="38" borderId="3" xfId="0" applyFont="1" applyFill="1" applyBorder="1" applyAlignment="1">
      <alignment horizontal="center" vertical="center"/>
    </xf>
    <xf numFmtId="0" fontId="4" fillId="46" borderId="1" xfId="0" applyFont="1" applyFill="1" applyBorder="1" applyAlignment="1">
      <alignment horizontal="center" vertical="center"/>
    </xf>
    <xf numFmtId="0" fontId="0" fillId="47" borderId="0" xfId="0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left" vertical="center"/>
    </xf>
    <xf numFmtId="0" fontId="2" fillId="8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2" fillId="0" borderId="2" xfId="0" applyFont="1" applyBorder="1"/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392B"/>
      <rgbColor rgb="FF00FF00"/>
      <rgbColor rgb="FF0000FF"/>
      <rgbColor rgb="FFE2EFDA"/>
      <rgbColor rgb="FFFF00FF"/>
      <rgbColor rgb="FF00FFFF"/>
      <rgbColor rgb="FF800000"/>
      <rgbColor rgb="FF008000"/>
      <rgbColor rgb="FF000080"/>
      <rgbColor rgb="FFD35400"/>
      <rgbColor rgb="FF6A1B9A"/>
      <rgbColor rgb="FF1A7FA1"/>
      <rgbColor rgb="FFBBBBBB"/>
      <rgbColor rgb="FF808080"/>
      <rgbColor rgb="FFE8E8E8"/>
      <rgbColor rgb="FF7B3F8C"/>
      <rgbColor rgb="FFFFF2CC"/>
      <rgbColor rgb="FFE8F5E9"/>
      <rgbColor rgb="FF660066"/>
      <rgbColor rgb="FFEDE7F6"/>
      <rgbColor rgb="FF2E5FA3"/>
      <rgbColor rgb="FFBDD7EE"/>
      <rgbColor rgb="FF000080"/>
      <rgbColor rgb="FFFF00FF"/>
      <rgbColor rgb="FFF4F4F4"/>
      <rgbColor rgb="FF00FFFF"/>
      <rgbColor rgb="FF800080"/>
      <rgbColor rgb="FF800000"/>
      <rgbColor rgb="FF008080"/>
      <rgbColor rgb="FF0000FF"/>
      <rgbColor rgb="FF00CCFF"/>
      <rgbColor rgb="FFF0FFF0"/>
      <rgbColor rgb="FFC6EFCE"/>
      <rgbColor rgb="FFFFEB9C"/>
      <rgbColor rgb="FFCCCCCC"/>
      <rgbColor rgb="FFFFE0CC"/>
      <rgbColor rgb="FFF3E5F5"/>
      <rgbColor rgb="FFFFC7CE"/>
      <rgbColor rgb="FF3366FF"/>
      <rgbColor rgb="FF33CCCC"/>
      <rgbColor rgb="FF99CC00"/>
      <rgbColor rgb="FFFCE4D6"/>
      <rgbColor rgb="FFFF9900"/>
      <rgbColor rgb="FFE8500A"/>
      <rgbColor rgb="FF555555"/>
      <rgbColor rgb="FFC9BC9E"/>
      <rgbColor rgb="FF003366"/>
      <rgbColor rgb="FF2E7D32"/>
      <rgbColor rgb="FF1E4620"/>
      <rgbColor rgb="FF231F20"/>
      <rgbColor rgb="FF7B3F00"/>
      <rgbColor rgb="FF8E24AA"/>
      <rgbColor rgb="FF1F4E7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82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tekaviti.make/Downloads/Listing%20ARAC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</sheetNames>
    <sheetDataSet>
      <sheetData sheetId="0">
        <row r="4">
          <cell r="B4" t="str">
            <v>Ass. Club Rugby Manu Ura</v>
          </cell>
          <cell r="E4" t="str">
            <v>87 76 11 31</v>
          </cell>
          <cell r="F4" t="str">
            <v>tapu.teina0210@gmail.com</v>
          </cell>
        </row>
        <row r="5">
          <cell r="B5" t="str">
            <v>Ecole de danse Moeata Ori Tahiti</v>
          </cell>
          <cell r="F5" t="str">
            <v>wickylauglin@gmail.com</v>
          </cell>
        </row>
        <row r="6">
          <cell r="B6" t="str">
            <v xml:space="preserve">ADAC - Ass. De théâtre à la presqu'île </v>
          </cell>
          <cell r="E6" t="str">
            <v>87 76 0 20</v>
          </cell>
          <cell r="F6" t="str">
            <v>assodesapprentiscomediens@gmail.com</v>
          </cell>
        </row>
        <row r="7">
          <cell r="B7" t="str">
            <v xml:space="preserve">Escrime Arue </v>
          </cell>
          <cell r="E7" t="str">
            <v>87 78 40 00</v>
          </cell>
          <cell r="F7" t="str">
            <v xml:space="preserve">jeanmarcuneo@gmail.com </v>
          </cell>
        </row>
        <row r="8">
          <cell r="B8" t="str">
            <v xml:space="preserve">Fédération polynésien des sports adapté et handisport </v>
          </cell>
          <cell r="E8" t="str">
            <v xml:space="preserve">87 72 97 62 </v>
          </cell>
          <cell r="F8" t="str">
            <v>vake.rh@hotmail.fr</v>
          </cell>
        </row>
        <row r="9">
          <cell r="B9" t="str">
            <v xml:space="preserve">Arearea surf adventures </v>
          </cell>
          <cell r="E9" t="str">
            <v>89 51 15 13</v>
          </cell>
          <cell r="F9" t="str">
            <v>evatara@hotmail.fr</v>
          </cell>
        </row>
        <row r="10">
          <cell r="B10" t="str">
            <v xml:space="preserve">Taiarapu Boxing Club </v>
          </cell>
          <cell r="E10" t="str">
            <v>87 31 93 33</v>
          </cell>
          <cell r="F10" t="str">
            <v>msvanina@live.fr</v>
          </cell>
        </row>
        <row r="11">
          <cell r="B11" t="str">
            <v>Atelier 203</v>
          </cell>
          <cell r="E11" t="str">
            <v xml:space="preserve">87 71 18 23 </v>
          </cell>
          <cell r="F11" t="str">
            <v>contact@atelier203.com</v>
          </cell>
        </row>
        <row r="12">
          <cell r="B12" t="str">
            <v xml:space="preserve">Ta'iara Pro </v>
          </cell>
          <cell r="E12" t="str">
            <v>87 70 52 63</v>
          </cell>
          <cell r="F12" t="str">
            <v>contact@taiara.net</v>
          </cell>
        </row>
        <row r="13">
          <cell r="B13" t="str">
            <v xml:space="preserve">Tahia - Soutien Scolaire </v>
          </cell>
          <cell r="E13" t="str">
            <v>87 72 33 47</v>
          </cell>
          <cell r="F13" t="str">
            <v xml:space="preserve">tahiad07@yahoo.fr </v>
          </cell>
        </row>
        <row r="14">
          <cell r="B14" t="str">
            <v>Clow Nani</v>
          </cell>
          <cell r="E14" t="str">
            <v>87 73 01 81</v>
          </cell>
          <cell r="F14" t="str">
            <v>naniclown@hotmail.fr</v>
          </cell>
        </row>
        <row r="15">
          <cell r="B15" t="str">
            <v>EACC</v>
          </cell>
          <cell r="E15" t="str">
            <v xml:space="preserve">87 76 09 20 </v>
          </cell>
          <cell r="F15" t="str">
            <v>tac.comediemusic@gmail.com</v>
          </cell>
        </row>
        <row r="16">
          <cell r="B16" t="str">
            <v>L'eperon de Tahiti</v>
          </cell>
          <cell r="E16" t="str">
            <v>87 71 20 10</v>
          </cell>
          <cell r="F16" t="str">
            <v>raphael@eperondetahiti.com</v>
          </cell>
        </row>
        <row r="17">
          <cell r="B17" t="str">
            <v>Kids camp Moorea</v>
          </cell>
          <cell r="E17" t="str">
            <v>89 79 90 74</v>
          </cell>
          <cell r="F17" t="str">
            <v>kidscamptahiti@gmail.com</v>
          </cell>
        </row>
        <row r="18">
          <cell r="B18" t="str">
            <v>Sphère MMA ACADEMY</v>
          </cell>
          <cell r="E18" t="str">
            <v>89 23 63 01</v>
          </cell>
          <cell r="F18" t="str">
            <v>spheremma@gmail.com</v>
          </cell>
        </row>
        <row r="19">
          <cell r="B19" t="str">
            <v>Team riders presqu'île motors</v>
          </cell>
          <cell r="E19" t="str">
            <v>89 28 57 04</v>
          </cell>
          <cell r="F19" t="str">
            <v>leewingben@gmail.com</v>
          </cell>
        </row>
        <row r="20">
          <cell r="B20" t="str">
            <v xml:space="preserve">Tearo MMA </v>
          </cell>
          <cell r="E20" t="str">
            <v>87 75 74 85</v>
          </cell>
          <cell r="F20" t="str">
            <v>tearomma@gmail.com</v>
          </cell>
        </row>
        <row r="21">
          <cell r="B21" t="str">
            <v xml:space="preserve">Ecole de danse LEHIA </v>
          </cell>
          <cell r="E21" t="str">
            <v xml:space="preserve">89 78 68 79 </v>
          </cell>
          <cell r="F21" t="str">
            <v>cyrle37@gmail.com</v>
          </cell>
        </row>
        <row r="22">
          <cell r="B22" t="str">
            <v>Centre de danse TAMANU</v>
          </cell>
          <cell r="E22" t="str">
            <v xml:space="preserve">87 70 79 84 </v>
          </cell>
          <cell r="F22" t="str">
            <v>centrededanse.tamanu@gmail.com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ntact@atelier203.com" TargetMode="External"/><Relationship Id="rId13" Type="http://schemas.openxmlformats.org/officeDocument/2006/relationships/hyperlink" Target="mailto:escrime.taravao@gmail.com" TargetMode="External"/><Relationship Id="rId18" Type="http://schemas.openxmlformats.org/officeDocument/2006/relationships/hyperlink" Target="mailto:surfitinui@gmail.com" TargetMode="External"/><Relationship Id="rId3" Type="http://schemas.openxmlformats.org/officeDocument/2006/relationships/hyperlink" Target="mailto:manohivaoritahiti@gmail.com" TargetMode="External"/><Relationship Id="rId21" Type="http://schemas.openxmlformats.org/officeDocument/2006/relationships/hyperlink" Target="mailto:sophieperacaula@gmail.com" TargetMode="External"/><Relationship Id="rId7" Type="http://schemas.openxmlformats.org/officeDocument/2006/relationships/hyperlink" Target="mailto:polynesianrobots@gmail.com" TargetMode="External"/><Relationship Id="rId12" Type="http://schemas.openxmlformats.org/officeDocument/2006/relationships/hyperlink" Target="mailto:polynelivre@gmail.com" TargetMode="External"/><Relationship Id="rId17" Type="http://schemas.openxmlformats.org/officeDocument/2006/relationships/hyperlink" Target="mailto:contact@polykids.pf" TargetMode="External"/><Relationship Id="rId2" Type="http://schemas.openxmlformats.org/officeDocument/2006/relationships/hyperlink" Target="mailto:samuel.teriimana@gmail.com" TargetMode="External"/><Relationship Id="rId16" Type="http://schemas.openxmlformats.org/officeDocument/2006/relationships/hyperlink" Target="mailto:arnaudtahiti@gmail.com" TargetMode="External"/><Relationship Id="rId20" Type="http://schemas.openxmlformats.org/officeDocument/2006/relationships/hyperlink" Target="mailto:jeanmarccuneo@gmail.com" TargetMode="External"/><Relationship Id="rId1" Type="http://schemas.openxmlformats.org/officeDocument/2006/relationships/hyperlink" Target="mailto:michel.sommers@edt.engie.pf" TargetMode="External"/><Relationship Id="rId6" Type="http://schemas.openxmlformats.org/officeDocument/2006/relationships/hyperlink" Target="mailto:polynelivre@gmail.com" TargetMode="External"/><Relationship Id="rId11" Type="http://schemas.openxmlformats.org/officeDocument/2006/relationships/hyperlink" Target="mailto:polynesianrobots@gmail.com" TargetMode="External"/><Relationship Id="rId5" Type="http://schemas.openxmlformats.org/officeDocument/2006/relationships/hyperlink" Target="mailto:arnaudtahiti@gmail.com" TargetMode="External"/><Relationship Id="rId15" Type="http://schemas.openxmlformats.org/officeDocument/2006/relationships/hyperlink" Target="mailto:p.setefano77@yahoo.co.nz" TargetMode="External"/><Relationship Id="rId10" Type="http://schemas.openxmlformats.org/officeDocument/2006/relationships/hyperlink" Target="mailto:contact@atelier203.com" TargetMode="External"/><Relationship Id="rId19" Type="http://schemas.openxmlformats.org/officeDocument/2006/relationships/hyperlink" Target="mailto:fbatahiti2011@yahoo.fr" TargetMode="External"/><Relationship Id="rId4" Type="http://schemas.openxmlformats.org/officeDocument/2006/relationships/hyperlink" Target="mailto:teretahiti@protonmail.com" TargetMode="External"/><Relationship Id="rId9" Type="http://schemas.openxmlformats.org/officeDocument/2006/relationships/hyperlink" Target="mailto:contact@atelier203.com" TargetMode="External"/><Relationship Id="rId14" Type="http://schemas.openxmlformats.org/officeDocument/2006/relationships/hyperlink" Target="mailto:international@polynesiataekwondo.org" TargetMode="External"/><Relationship Id="rId22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teretahiti@protonmail.com" TargetMode="External"/><Relationship Id="rId3" Type="http://schemas.openxmlformats.org/officeDocument/2006/relationships/hyperlink" Target="mailto:michel.sommers@edt.engie.pf" TargetMode="External"/><Relationship Id="rId7" Type="http://schemas.openxmlformats.org/officeDocument/2006/relationships/hyperlink" Target="mailto:manohivaoritahiti@gmail.com" TargetMode="External"/><Relationship Id="rId2" Type="http://schemas.openxmlformats.org/officeDocument/2006/relationships/hyperlink" Target="mailto:fmpf.moto@gmail.com" TargetMode="External"/><Relationship Id="rId1" Type="http://schemas.openxmlformats.org/officeDocument/2006/relationships/hyperlink" Target="mailto:president@fpj.pf" TargetMode="External"/><Relationship Id="rId6" Type="http://schemas.openxmlformats.org/officeDocument/2006/relationships/hyperlink" Target="mailto:samuel.teriimana@gmail.com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mailto:rurua@mail.pf" TargetMode="External"/><Relationship Id="rId10" Type="http://schemas.openxmlformats.org/officeDocument/2006/relationships/hyperlink" Target="mailto:polynelivre@gmail.com" TargetMode="External"/><Relationship Id="rId4" Type="http://schemas.openxmlformats.org/officeDocument/2006/relationships/hyperlink" Target="mailto:tapaoaroha@yahoo.fr" TargetMode="External"/><Relationship Id="rId9" Type="http://schemas.openxmlformats.org/officeDocument/2006/relationships/hyperlink" Target="mailto:arnaudtahit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3D84E-2F6B-4D49-A98A-F9E0B72BB21F}">
  <sheetPr>
    <pageSetUpPr fitToPage="1"/>
  </sheetPr>
  <dimension ref="A1:S117"/>
  <sheetViews>
    <sheetView tabSelected="1" zoomScale="115" zoomScaleNormal="115" workbookViewId="0">
      <pane ySplit="3" topLeftCell="A4" activePane="bottomLeft" state="frozen"/>
      <selection pane="bottomLeft" activeCell="B31" sqref="B31"/>
    </sheetView>
  </sheetViews>
  <sheetFormatPr baseColWidth="10" defaultColWidth="8.6640625" defaultRowHeight="15" x14ac:dyDescent="0.2"/>
  <cols>
    <col min="1" max="1" width="5" customWidth="1"/>
    <col min="2" max="2" width="30" customWidth="1"/>
    <col min="3" max="3" width="22" customWidth="1"/>
    <col min="4" max="4" width="14" customWidth="1"/>
    <col min="5" max="10" width="6" customWidth="1"/>
    <col min="11" max="11" width="12" customWidth="1"/>
    <col min="12" max="12" width="22" customWidth="1"/>
    <col min="13" max="13" width="14" customWidth="1"/>
    <col min="14" max="14" width="28" customWidth="1"/>
    <col min="15" max="15" width="16" customWidth="1"/>
    <col min="16" max="17" width="8" customWidth="1"/>
    <col min="18" max="18" width="28" customWidth="1"/>
  </cols>
  <sheetData>
    <row r="1" spans="1:19" ht="27.75" customHeight="1" x14ac:dyDescent="0.2">
      <c r="A1" s="112" t="s">
        <v>622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</row>
    <row r="2" spans="1:19" ht="15.75" customHeight="1" x14ac:dyDescent="0.2">
      <c r="A2" s="113" t="s">
        <v>1</v>
      </c>
      <c r="B2" s="113"/>
      <c r="C2" s="113"/>
      <c r="D2" s="113"/>
      <c r="E2" s="114" t="s">
        <v>2</v>
      </c>
      <c r="F2" s="114"/>
      <c r="G2" s="114"/>
      <c r="H2" s="114"/>
      <c r="I2" s="114"/>
      <c r="J2" s="114"/>
      <c r="K2" s="1" t="s">
        <v>3</v>
      </c>
      <c r="L2" s="115" t="s">
        <v>4</v>
      </c>
      <c r="M2" s="115"/>
      <c r="N2" s="115"/>
      <c r="O2" s="2" t="s">
        <v>5</v>
      </c>
      <c r="P2" s="116" t="s">
        <v>6</v>
      </c>
      <c r="Q2" s="116"/>
      <c r="R2" s="76" t="s">
        <v>530</v>
      </c>
      <c r="S2" s="77"/>
    </row>
    <row r="3" spans="1:19" ht="33.75" customHeight="1" x14ac:dyDescent="0.2">
      <c r="A3" s="3" t="s">
        <v>7</v>
      </c>
      <c r="B3" s="4" t="s">
        <v>8</v>
      </c>
      <c r="C3" s="4" t="s">
        <v>9</v>
      </c>
      <c r="D3" s="4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5" t="s">
        <v>16</v>
      </c>
      <c r="K3" s="6" t="s">
        <v>17</v>
      </c>
      <c r="L3" s="7" t="s">
        <v>18</v>
      </c>
      <c r="M3" s="7" t="s">
        <v>19</v>
      </c>
      <c r="N3" s="7" t="s">
        <v>20</v>
      </c>
      <c r="O3" s="8" t="s">
        <v>21</v>
      </c>
      <c r="P3" s="9" t="s">
        <v>22</v>
      </c>
      <c r="Q3" s="9" t="s">
        <v>23</v>
      </c>
      <c r="R3" s="75" t="s">
        <v>24</v>
      </c>
      <c r="S3" s="78"/>
    </row>
    <row r="4" spans="1:19" ht="15" customHeight="1" x14ac:dyDescent="0.2">
      <c r="A4" s="18" t="e">
        <f>1+#REF!</f>
        <v>#REF!</v>
      </c>
      <c r="B4" s="64" t="s">
        <v>473</v>
      </c>
      <c r="C4" s="64" t="s">
        <v>542</v>
      </c>
      <c r="D4" s="20" t="s">
        <v>89</v>
      </c>
      <c r="E4" s="13" t="s">
        <v>28</v>
      </c>
      <c r="F4" s="13" t="s">
        <v>28</v>
      </c>
      <c r="G4" s="13" t="s">
        <v>28</v>
      </c>
      <c r="H4" s="13" t="s">
        <v>28</v>
      </c>
      <c r="I4" s="13" t="s">
        <v>28</v>
      </c>
      <c r="J4" s="18">
        <v>0</v>
      </c>
      <c r="K4" s="11" t="s">
        <v>52</v>
      </c>
      <c r="L4" s="11" t="s">
        <v>621</v>
      </c>
      <c r="M4" s="64" t="s">
        <v>543</v>
      </c>
      <c r="N4" s="72" t="s">
        <v>544</v>
      </c>
      <c r="O4" s="16" t="s">
        <v>466</v>
      </c>
      <c r="P4" s="110"/>
      <c r="Q4" s="110"/>
      <c r="R4" s="64"/>
    </row>
    <row r="5" spans="1:19" ht="15" customHeight="1" x14ac:dyDescent="0.2">
      <c r="A5" s="18" t="e">
        <f t="shared" ref="A5:A60" si="0">1+A4</f>
        <v>#REF!</v>
      </c>
      <c r="B5" s="11" t="s">
        <v>87</v>
      </c>
      <c r="C5" s="11" t="s">
        <v>88</v>
      </c>
      <c r="D5" s="20" t="s">
        <v>89</v>
      </c>
      <c r="E5" s="14" t="s">
        <v>29</v>
      </c>
      <c r="F5" s="14" t="s">
        <v>29</v>
      </c>
      <c r="G5" s="14" t="s">
        <v>29</v>
      </c>
      <c r="H5" s="14" t="s">
        <v>29</v>
      </c>
      <c r="I5" s="14" t="s">
        <v>29</v>
      </c>
      <c r="J5" s="10">
        <v>5</v>
      </c>
      <c r="K5" s="15" t="s">
        <v>30</v>
      </c>
      <c r="L5" s="11" t="s">
        <v>90</v>
      </c>
      <c r="M5" s="11" t="s">
        <v>91</v>
      </c>
      <c r="N5" s="11" t="s">
        <v>92</v>
      </c>
      <c r="O5" s="16" t="s">
        <v>466</v>
      </c>
      <c r="P5" s="110"/>
      <c r="Q5" s="110"/>
      <c r="R5" s="64"/>
    </row>
    <row r="6" spans="1:19" ht="15" customHeight="1" x14ac:dyDescent="0.2">
      <c r="A6" s="18" t="e">
        <f t="shared" si="0"/>
        <v>#REF!</v>
      </c>
      <c r="B6" s="19" t="s">
        <v>93</v>
      </c>
      <c r="C6" s="19" t="s">
        <v>94</v>
      </c>
      <c r="D6" s="20" t="s">
        <v>89</v>
      </c>
      <c r="E6" s="13" t="s">
        <v>28</v>
      </c>
      <c r="F6" s="13" t="s">
        <v>28</v>
      </c>
      <c r="G6" s="13" t="s">
        <v>28</v>
      </c>
      <c r="H6" s="14" t="s">
        <v>29</v>
      </c>
      <c r="I6" s="14" t="s">
        <v>29</v>
      </c>
      <c r="J6" s="18">
        <v>2</v>
      </c>
      <c r="K6" s="21" t="s">
        <v>95</v>
      </c>
      <c r="L6" s="19" t="s">
        <v>96</v>
      </c>
      <c r="M6" s="19" t="s">
        <v>97</v>
      </c>
      <c r="N6" s="19" t="s">
        <v>98</v>
      </c>
      <c r="O6" s="16" t="s">
        <v>466</v>
      </c>
      <c r="P6" s="110"/>
      <c r="Q6" s="110"/>
      <c r="R6" s="11"/>
    </row>
    <row r="7" spans="1:19" ht="15" customHeight="1" x14ac:dyDescent="0.2">
      <c r="A7" s="18" t="e">
        <f t="shared" si="0"/>
        <v>#REF!</v>
      </c>
      <c r="B7" s="11" t="s">
        <v>99</v>
      </c>
      <c r="C7" s="11" t="s">
        <v>100</v>
      </c>
      <c r="D7" s="20" t="s">
        <v>89</v>
      </c>
      <c r="E7" s="13" t="s">
        <v>28</v>
      </c>
      <c r="F7" s="13" t="s">
        <v>28</v>
      </c>
      <c r="G7" s="13" t="s">
        <v>28</v>
      </c>
      <c r="H7" s="14" t="s">
        <v>29</v>
      </c>
      <c r="I7" s="13" t="s">
        <v>28</v>
      </c>
      <c r="J7" s="10">
        <v>1</v>
      </c>
      <c r="K7" s="11" t="s">
        <v>52</v>
      </c>
      <c r="L7" s="64" t="s">
        <v>535</v>
      </c>
      <c r="M7" s="64" t="s">
        <v>536</v>
      </c>
      <c r="N7" s="11" t="s">
        <v>101</v>
      </c>
      <c r="O7" s="16" t="s">
        <v>468</v>
      </c>
      <c r="P7" s="110"/>
      <c r="Q7" s="110"/>
      <c r="R7" s="63"/>
    </row>
    <row r="8" spans="1:19" ht="15" customHeight="1" x14ac:dyDescent="0.2">
      <c r="A8" s="18" t="e">
        <f t="shared" si="0"/>
        <v>#REF!</v>
      </c>
      <c r="B8" s="63" t="s">
        <v>538</v>
      </c>
      <c r="C8" s="19" t="s">
        <v>103</v>
      </c>
      <c r="D8" s="20" t="s">
        <v>89</v>
      </c>
      <c r="E8" s="13" t="s">
        <v>28</v>
      </c>
      <c r="F8" s="13" t="s">
        <v>28</v>
      </c>
      <c r="G8" s="13" t="s">
        <v>28</v>
      </c>
      <c r="H8" s="13" t="s">
        <v>28</v>
      </c>
      <c r="I8" s="14" t="s">
        <v>29</v>
      </c>
      <c r="J8" s="18">
        <v>1</v>
      </c>
      <c r="K8" s="11" t="s">
        <v>52</v>
      </c>
      <c r="L8" s="63" t="s">
        <v>541</v>
      </c>
      <c r="M8" s="63" t="s">
        <v>539</v>
      </c>
      <c r="N8" s="71" t="s">
        <v>540</v>
      </c>
      <c r="O8" s="16" t="s">
        <v>466</v>
      </c>
      <c r="P8" s="110"/>
      <c r="Q8" s="110"/>
      <c r="R8" s="63"/>
    </row>
    <row r="9" spans="1:19" ht="15" customHeight="1" x14ac:dyDescent="0.2">
      <c r="A9" s="18" t="e">
        <f t="shared" si="0"/>
        <v>#REF!</v>
      </c>
      <c r="B9" s="11" t="s">
        <v>25</v>
      </c>
      <c r="C9" s="11" t="s">
        <v>26</v>
      </c>
      <c r="D9" s="20" t="s">
        <v>89</v>
      </c>
      <c r="E9" s="13" t="s">
        <v>28</v>
      </c>
      <c r="F9" s="13" t="s">
        <v>28</v>
      </c>
      <c r="G9" s="14" t="s">
        <v>29</v>
      </c>
      <c r="H9" s="14" t="s">
        <v>29</v>
      </c>
      <c r="I9" s="14" t="s">
        <v>29</v>
      </c>
      <c r="J9" s="10">
        <v>3</v>
      </c>
      <c r="K9" s="15" t="s">
        <v>30</v>
      </c>
      <c r="L9" s="11" t="s">
        <v>524</v>
      </c>
      <c r="M9" s="11" t="s">
        <v>32</v>
      </c>
      <c r="N9" s="11" t="s">
        <v>33</v>
      </c>
      <c r="O9" s="16" t="s">
        <v>466</v>
      </c>
      <c r="P9" s="110"/>
      <c r="Q9" s="110"/>
      <c r="R9" s="19"/>
    </row>
    <row r="10" spans="1:19" ht="15" customHeight="1" x14ac:dyDescent="0.2">
      <c r="A10" s="18" t="e">
        <f t="shared" si="0"/>
        <v>#REF!</v>
      </c>
      <c r="B10" s="63" t="s">
        <v>56</v>
      </c>
      <c r="C10" s="19" t="s">
        <v>57</v>
      </c>
      <c r="D10" s="20" t="s">
        <v>89</v>
      </c>
      <c r="E10" s="13" t="s">
        <v>28</v>
      </c>
      <c r="F10" s="13" t="s">
        <v>28</v>
      </c>
      <c r="G10" s="13" t="s">
        <v>28</v>
      </c>
      <c r="H10" s="13" t="s">
        <v>28</v>
      </c>
      <c r="I10" s="14" t="s">
        <v>29</v>
      </c>
      <c r="J10" s="18">
        <v>1</v>
      </c>
      <c r="K10" s="11" t="s">
        <v>52</v>
      </c>
      <c r="L10" s="19" t="s">
        <v>58</v>
      </c>
      <c r="M10" s="19" t="s">
        <v>59</v>
      </c>
      <c r="N10" s="19" t="s">
        <v>60</v>
      </c>
      <c r="O10" s="16" t="s">
        <v>466</v>
      </c>
      <c r="P10" s="110"/>
      <c r="Q10" s="110"/>
      <c r="R10" s="11"/>
    </row>
    <row r="11" spans="1:19" ht="15" customHeight="1" x14ac:dyDescent="0.2">
      <c r="A11" s="18" t="e">
        <f t="shared" si="0"/>
        <v>#REF!</v>
      </c>
      <c r="B11" s="11" t="s">
        <v>40</v>
      </c>
      <c r="C11" s="11" t="s">
        <v>41</v>
      </c>
      <c r="D11" s="20" t="s">
        <v>89</v>
      </c>
      <c r="E11" s="13" t="s">
        <v>28</v>
      </c>
      <c r="F11" s="14" t="s">
        <v>29</v>
      </c>
      <c r="G11" s="14" t="s">
        <v>29</v>
      </c>
      <c r="H11" s="14" t="s">
        <v>29</v>
      </c>
      <c r="I11" s="14" t="s">
        <v>29</v>
      </c>
      <c r="J11" s="10">
        <v>4</v>
      </c>
      <c r="K11" s="15" t="s">
        <v>30</v>
      </c>
      <c r="L11" s="11" t="s">
        <v>42</v>
      </c>
      <c r="M11" s="11" t="s">
        <v>526</v>
      </c>
      <c r="N11" s="72" t="s">
        <v>527</v>
      </c>
      <c r="O11" s="16" t="s">
        <v>466</v>
      </c>
      <c r="P11" s="110"/>
      <c r="Q11" s="110"/>
      <c r="R11" s="11"/>
    </row>
    <row r="12" spans="1:19" ht="15" customHeight="1" x14ac:dyDescent="0.2">
      <c r="A12" s="18" t="e">
        <f t="shared" si="0"/>
        <v>#REF!</v>
      </c>
      <c r="B12" s="63" t="s">
        <v>620</v>
      </c>
      <c r="C12" s="19" t="s">
        <v>36</v>
      </c>
      <c r="D12" s="20" t="s">
        <v>89</v>
      </c>
      <c r="E12" s="13" t="s">
        <v>28</v>
      </c>
      <c r="F12" s="13" t="s">
        <v>28</v>
      </c>
      <c r="G12" s="14" t="s">
        <v>29</v>
      </c>
      <c r="H12" s="14" t="s">
        <v>29</v>
      </c>
      <c r="I12" s="14" t="s">
        <v>29</v>
      </c>
      <c r="J12" s="18">
        <v>3</v>
      </c>
      <c r="K12" s="15" t="s">
        <v>30</v>
      </c>
      <c r="L12" s="19" t="s">
        <v>37</v>
      </c>
      <c r="M12" s="19" t="s">
        <v>38</v>
      </c>
      <c r="N12" s="19" t="s">
        <v>39</v>
      </c>
      <c r="O12" s="16" t="s">
        <v>466</v>
      </c>
      <c r="P12" s="110"/>
      <c r="Q12" s="110"/>
      <c r="R12" s="19"/>
    </row>
    <row r="13" spans="1:19" ht="15" customHeight="1" x14ac:dyDescent="0.2">
      <c r="A13" s="18" t="e">
        <f t="shared" si="0"/>
        <v>#REF!</v>
      </c>
      <c r="B13" s="19" t="s">
        <v>75</v>
      </c>
      <c r="C13" s="19" t="s">
        <v>76</v>
      </c>
      <c r="D13" s="20" t="s">
        <v>89</v>
      </c>
      <c r="E13" s="13" t="s">
        <v>28</v>
      </c>
      <c r="F13" s="13" t="s">
        <v>28</v>
      </c>
      <c r="G13" s="13" t="s">
        <v>28</v>
      </c>
      <c r="H13" s="13" t="s">
        <v>28</v>
      </c>
      <c r="I13" s="14" t="s">
        <v>29</v>
      </c>
      <c r="J13" s="18">
        <v>1</v>
      </c>
      <c r="K13" s="11" t="s">
        <v>52</v>
      </c>
      <c r="L13" s="19" t="s">
        <v>77</v>
      </c>
      <c r="M13" s="19" t="s">
        <v>78</v>
      </c>
      <c r="N13" s="19" t="s">
        <v>79</v>
      </c>
      <c r="O13" s="16" t="s">
        <v>466</v>
      </c>
      <c r="P13" s="110"/>
      <c r="Q13" s="110"/>
      <c r="R13" s="11"/>
    </row>
    <row r="14" spans="1:19" ht="15" customHeight="1" x14ac:dyDescent="0.2">
      <c r="A14" s="18" t="e">
        <f t="shared" si="0"/>
        <v>#REF!</v>
      </c>
      <c r="B14" s="11" t="s">
        <v>80</v>
      </c>
      <c r="C14" s="11" t="s">
        <v>81</v>
      </c>
      <c r="D14" s="20" t="s">
        <v>89</v>
      </c>
      <c r="E14" s="13" t="s">
        <v>28</v>
      </c>
      <c r="F14" s="13" t="s">
        <v>28</v>
      </c>
      <c r="G14" s="14" t="s">
        <v>29</v>
      </c>
      <c r="H14" s="14" t="s">
        <v>29</v>
      </c>
      <c r="I14" s="14" t="s">
        <v>29</v>
      </c>
      <c r="J14" s="10">
        <v>3</v>
      </c>
      <c r="K14" s="15" t="s">
        <v>30</v>
      </c>
      <c r="L14" s="64" t="s">
        <v>533</v>
      </c>
      <c r="M14" s="64" t="s">
        <v>534</v>
      </c>
      <c r="N14" s="11" t="s">
        <v>83</v>
      </c>
      <c r="O14" s="16" t="s">
        <v>466</v>
      </c>
      <c r="P14" s="110"/>
      <c r="Q14" s="110"/>
      <c r="R14" s="19"/>
    </row>
    <row r="15" spans="1:19" ht="15" customHeight="1" x14ac:dyDescent="0.2">
      <c r="A15" s="18" t="e">
        <f t="shared" si="0"/>
        <v>#REF!</v>
      </c>
      <c r="B15" s="11" t="s">
        <v>546</v>
      </c>
      <c r="C15" s="11" t="s">
        <v>549</v>
      </c>
      <c r="D15" s="20" t="s">
        <v>89</v>
      </c>
      <c r="E15" s="13" t="s">
        <v>28</v>
      </c>
      <c r="F15" s="13" t="s">
        <v>28</v>
      </c>
      <c r="G15" s="13" t="s">
        <v>28</v>
      </c>
      <c r="H15" s="13" t="s">
        <v>28</v>
      </c>
      <c r="I15" s="13" t="s">
        <v>28</v>
      </c>
      <c r="J15" s="18">
        <v>0</v>
      </c>
      <c r="K15" s="11" t="s">
        <v>52</v>
      </c>
      <c r="L15" s="64" t="s">
        <v>580</v>
      </c>
      <c r="M15" s="11" t="s">
        <v>547</v>
      </c>
      <c r="N15" s="11" t="s">
        <v>548</v>
      </c>
      <c r="O15" s="16" t="s">
        <v>466</v>
      </c>
      <c r="P15" s="110"/>
      <c r="Q15" s="110"/>
      <c r="R15" s="11"/>
    </row>
    <row r="16" spans="1:19" x14ac:dyDescent="0.2">
      <c r="A16" s="18" t="e">
        <f t="shared" si="0"/>
        <v>#REF!</v>
      </c>
      <c r="B16" s="19" t="s">
        <v>550</v>
      </c>
      <c r="C16" s="63" t="s">
        <v>249</v>
      </c>
      <c r="D16" s="20" t="s">
        <v>89</v>
      </c>
      <c r="E16" s="13" t="s">
        <v>28</v>
      </c>
      <c r="F16" s="13" t="s">
        <v>28</v>
      </c>
      <c r="G16" s="13" t="s">
        <v>28</v>
      </c>
      <c r="H16" s="13" t="s">
        <v>28</v>
      </c>
      <c r="I16" s="13" t="s">
        <v>28</v>
      </c>
      <c r="J16" s="18">
        <v>0</v>
      </c>
      <c r="K16" s="11" t="s">
        <v>52</v>
      </c>
      <c r="L16" s="63" t="s">
        <v>581</v>
      </c>
      <c r="M16" s="19" t="s">
        <v>551</v>
      </c>
      <c r="N16" s="19" t="s">
        <v>552</v>
      </c>
      <c r="O16" s="16" t="s">
        <v>466</v>
      </c>
      <c r="P16" s="110"/>
      <c r="Q16" s="110"/>
      <c r="R16" s="19"/>
    </row>
    <row r="17" spans="1:18" x14ac:dyDescent="0.2">
      <c r="A17" s="18" t="e">
        <f t="shared" si="0"/>
        <v>#REF!</v>
      </c>
      <c r="B17" s="19" t="s">
        <v>564</v>
      </c>
      <c r="C17" s="63" t="s">
        <v>615</v>
      </c>
      <c r="D17" s="20" t="s">
        <v>484</v>
      </c>
      <c r="E17" s="13" t="s">
        <v>28</v>
      </c>
      <c r="F17" s="13" t="s">
        <v>28</v>
      </c>
      <c r="G17" s="13" t="s">
        <v>28</v>
      </c>
      <c r="H17" s="13" t="s">
        <v>28</v>
      </c>
      <c r="I17" s="13" t="s">
        <v>28</v>
      </c>
      <c r="J17" s="18">
        <v>0</v>
      </c>
      <c r="K17" s="11" t="s">
        <v>52</v>
      </c>
      <c r="L17" s="63" t="s">
        <v>582</v>
      </c>
      <c r="M17" s="19" t="s">
        <v>565</v>
      </c>
      <c r="N17" s="19" t="s">
        <v>566</v>
      </c>
      <c r="O17" s="16" t="s">
        <v>466</v>
      </c>
      <c r="P17" s="110"/>
      <c r="Q17" s="110"/>
      <c r="R17" s="19"/>
    </row>
    <row r="18" spans="1:18" x14ac:dyDescent="0.2">
      <c r="A18" s="18" t="e">
        <f t="shared" si="0"/>
        <v>#REF!</v>
      </c>
      <c r="B18" s="19" t="s">
        <v>561</v>
      </c>
      <c r="C18" s="63" t="s">
        <v>260</v>
      </c>
      <c r="D18" s="20" t="s">
        <v>89</v>
      </c>
      <c r="E18" s="13" t="s">
        <v>28</v>
      </c>
      <c r="F18" s="13" t="s">
        <v>28</v>
      </c>
      <c r="G18" s="13" t="s">
        <v>28</v>
      </c>
      <c r="H18" s="13" t="s">
        <v>28</v>
      </c>
      <c r="I18" s="13" t="s">
        <v>28</v>
      </c>
      <c r="J18" s="18">
        <v>0</v>
      </c>
      <c r="K18" s="11" t="s">
        <v>52</v>
      </c>
      <c r="L18" s="63" t="s">
        <v>601</v>
      </c>
      <c r="M18" s="19" t="s">
        <v>562</v>
      </c>
      <c r="N18" s="19" t="s">
        <v>563</v>
      </c>
      <c r="O18" s="16" t="s">
        <v>466</v>
      </c>
      <c r="P18" s="110"/>
      <c r="Q18" s="110"/>
      <c r="R18" s="19"/>
    </row>
    <row r="19" spans="1:18" ht="15" customHeight="1" x14ac:dyDescent="0.2">
      <c r="A19" s="18" t="e">
        <f t="shared" si="0"/>
        <v>#REF!</v>
      </c>
      <c r="B19" s="19" t="s">
        <v>84</v>
      </c>
      <c r="C19" s="19" t="s">
        <v>81</v>
      </c>
      <c r="D19" s="20" t="s">
        <v>89</v>
      </c>
      <c r="E19" s="14" t="s">
        <v>29</v>
      </c>
      <c r="F19" s="14" t="s">
        <v>29</v>
      </c>
      <c r="G19" s="13" t="s">
        <v>28</v>
      </c>
      <c r="H19" s="13" t="s">
        <v>28</v>
      </c>
      <c r="I19" s="14" t="s">
        <v>29</v>
      </c>
      <c r="J19" s="18">
        <v>3</v>
      </c>
      <c r="K19" s="15" t="s">
        <v>30</v>
      </c>
      <c r="L19" s="19" t="s">
        <v>85</v>
      </c>
      <c r="M19" s="19" t="s">
        <v>82</v>
      </c>
      <c r="N19" s="19" t="s">
        <v>86</v>
      </c>
      <c r="O19" s="16" t="s">
        <v>466</v>
      </c>
      <c r="P19" s="110"/>
      <c r="Q19" s="110"/>
      <c r="R19" s="11"/>
    </row>
    <row r="20" spans="1:18" ht="15" customHeight="1" x14ac:dyDescent="0.2">
      <c r="A20" s="18" t="e">
        <f t="shared" si="0"/>
        <v>#REF!</v>
      </c>
      <c r="B20" s="64" t="s">
        <v>516</v>
      </c>
      <c r="C20" s="64" t="s">
        <v>616</v>
      </c>
      <c r="D20" s="66" t="s">
        <v>122</v>
      </c>
      <c r="E20" s="13"/>
      <c r="F20" s="13"/>
      <c r="G20" s="13"/>
      <c r="H20" s="13"/>
      <c r="I20" s="13"/>
      <c r="J20" s="18">
        <v>0</v>
      </c>
      <c r="K20" s="11" t="s">
        <v>52</v>
      </c>
      <c r="L20" s="64" t="s">
        <v>583</v>
      </c>
      <c r="M20" s="64" t="s">
        <v>518</v>
      </c>
      <c r="N20" s="72" t="s">
        <v>519</v>
      </c>
      <c r="O20" s="16" t="s">
        <v>468</v>
      </c>
      <c r="P20" s="110"/>
      <c r="Q20" s="110"/>
      <c r="R20" s="19"/>
    </row>
    <row r="21" spans="1:18" ht="15" customHeight="1" x14ac:dyDescent="0.2">
      <c r="A21" s="18" t="e">
        <f t="shared" si="0"/>
        <v>#REF!</v>
      </c>
      <c r="B21" s="63" t="s">
        <v>584</v>
      </c>
      <c r="C21" s="63" t="s">
        <v>617</v>
      </c>
      <c r="D21" s="66" t="s">
        <v>122</v>
      </c>
      <c r="E21" s="13"/>
      <c r="F21" s="13"/>
      <c r="G21" s="13"/>
      <c r="H21" s="13"/>
      <c r="I21" s="13"/>
      <c r="J21" s="18">
        <v>0</v>
      </c>
      <c r="K21" s="11" t="s">
        <v>52</v>
      </c>
      <c r="L21" s="63" t="s">
        <v>585</v>
      </c>
      <c r="M21" s="63" t="s">
        <v>522</v>
      </c>
      <c r="N21" s="19"/>
      <c r="O21" s="16" t="s">
        <v>468</v>
      </c>
      <c r="P21" s="110"/>
      <c r="Q21" s="110"/>
      <c r="R21" s="11"/>
    </row>
    <row r="22" spans="1:18" ht="15" customHeight="1" x14ac:dyDescent="0.2">
      <c r="A22" s="18" t="e">
        <f t="shared" si="0"/>
        <v>#REF!</v>
      </c>
      <c r="B22" s="64" t="s">
        <v>473</v>
      </c>
      <c r="C22" s="64" t="s">
        <v>542</v>
      </c>
      <c r="D22" s="67" t="s">
        <v>122</v>
      </c>
      <c r="E22" s="13" t="s">
        <v>28</v>
      </c>
      <c r="F22" s="13" t="s">
        <v>28</v>
      </c>
      <c r="G22" s="13" t="s">
        <v>28</v>
      </c>
      <c r="H22" s="13" t="s">
        <v>28</v>
      </c>
      <c r="I22" s="13" t="s">
        <v>28</v>
      </c>
      <c r="J22" s="18">
        <v>0</v>
      </c>
      <c r="K22" s="11" t="s">
        <v>52</v>
      </c>
      <c r="L22" s="11" t="s">
        <v>621</v>
      </c>
      <c r="M22" s="64" t="s">
        <v>543</v>
      </c>
      <c r="N22" s="72" t="s">
        <v>544</v>
      </c>
      <c r="O22" s="16" t="s">
        <v>466</v>
      </c>
      <c r="P22" s="110"/>
      <c r="Q22" s="110"/>
      <c r="R22" s="19"/>
    </row>
    <row r="23" spans="1:18" ht="15" customHeight="1" x14ac:dyDescent="0.2">
      <c r="A23" s="18" t="e">
        <f t="shared" si="0"/>
        <v>#REF!</v>
      </c>
      <c r="B23" s="11" t="s">
        <v>121</v>
      </c>
      <c r="C23" s="11" t="s">
        <v>26</v>
      </c>
      <c r="D23" s="22" t="s">
        <v>122</v>
      </c>
      <c r="E23" s="13" t="s">
        <v>28</v>
      </c>
      <c r="F23" s="14" t="s">
        <v>29</v>
      </c>
      <c r="G23" s="14" t="s">
        <v>29</v>
      </c>
      <c r="H23" s="14" t="s">
        <v>29</v>
      </c>
      <c r="I23" s="14" t="s">
        <v>29</v>
      </c>
      <c r="J23" s="10">
        <v>4</v>
      </c>
      <c r="K23" s="15" t="s">
        <v>30</v>
      </c>
      <c r="L23" s="11" t="s">
        <v>123</v>
      </c>
      <c r="M23" s="11" t="s">
        <v>124</v>
      </c>
      <c r="N23" s="11" t="s">
        <v>125</v>
      </c>
      <c r="O23" s="16" t="s">
        <v>466</v>
      </c>
      <c r="P23" s="110"/>
      <c r="Q23" s="110"/>
      <c r="R23" s="11"/>
    </row>
    <row r="24" spans="1:18" ht="15" customHeight="1" x14ac:dyDescent="0.2">
      <c r="A24" s="18" t="e">
        <f t="shared" si="0"/>
        <v>#REF!</v>
      </c>
      <c r="B24" s="19" t="s">
        <v>126</v>
      </c>
      <c r="C24" s="19" t="s">
        <v>36</v>
      </c>
      <c r="D24" s="22" t="s">
        <v>122</v>
      </c>
      <c r="E24" s="13" t="s">
        <v>28</v>
      </c>
      <c r="F24" s="13" t="s">
        <v>28</v>
      </c>
      <c r="G24" s="14" t="s">
        <v>29</v>
      </c>
      <c r="H24" s="14" t="s">
        <v>29</v>
      </c>
      <c r="I24" s="14" t="s">
        <v>29</v>
      </c>
      <c r="J24" s="18">
        <v>3</v>
      </c>
      <c r="K24" s="15" t="s">
        <v>30</v>
      </c>
      <c r="L24" s="19" t="s">
        <v>127</v>
      </c>
      <c r="M24" s="19" t="s">
        <v>128</v>
      </c>
      <c r="N24" s="19" t="s">
        <v>129</v>
      </c>
      <c r="O24" s="16" t="s">
        <v>466</v>
      </c>
      <c r="P24" s="110"/>
      <c r="Q24" s="110"/>
      <c r="R24" s="19"/>
    </row>
    <row r="25" spans="1:18" ht="15" customHeight="1" x14ac:dyDescent="0.2">
      <c r="A25" s="18" t="e">
        <f t="shared" si="0"/>
        <v>#REF!</v>
      </c>
      <c r="B25" s="11" t="s">
        <v>130</v>
      </c>
      <c r="C25" s="11" t="s">
        <v>46</v>
      </c>
      <c r="D25" s="22" t="s">
        <v>122</v>
      </c>
      <c r="E25" s="13" t="s">
        <v>28</v>
      </c>
      <c r="F25" s="13" t="s">
        <v>28</v>
      </c>
      <c r="G25" s="14" t="s">
        <v>29</v>
      </c>
      <c r="H25" s="14" t="s">
        <v>29</v>
      </c>
      <c r="I25" s="14" t="s">
        <v>29</v>
      </c>
      <c r="J25" s="10">
        <v>3</v>
      </c>
      <c r="K25" s="15" t="s">
        <v>30</v>
      </c>
      <c r="L25" s="11" t="s">
        <v>131</v>
      </c>
      <c r="M25" s="11" t="s">
        <v>132</v>
      </c>
      <c r="N25" s="11" t="s">
        <v>133</v>
      </c>
      <c r="O25" s="16" t="s">
        <v>466</v>
      </c>
      <c r="P25" s="110"/>
      <c r="Q25" s="110"/>
      <c r="R25" s="11"/>
    </row>
    <row r="26" spans="1:18" ht="15" customHeight="1" x14ac:dyDescent="0.2">
      <c r="A26" s="18" t="e">
        <f t="shared" si="0"/>
        <v>#REF!</v>
      </c>
      <c r="B26" s="19" t="s">
        <v>134</v>
      </c>
      <c r="C26" s="19" t="s">
        <v>135</v>
      </c>
      <c r="D26" s="22" t="s">
        <v>122</v>
      </c>
      <c r="E26" s="13" t="s">
        <v>28</v>
      </c>
      <c r="F26" s="13" t="s">
        <v>28</v>
      </c>
      <c r="G26" s="13" t="s">
        <v>28</v>
      </c>
      <c r="H26" s="14" t="s">
        <v>29</v>
      </c>
      <c r="I26" s="14" t="s">
        <v>29</v>
      </c>
      <c r="J26" s="18">
        <v>2</v>
      </c>
      <c r="K26" s="21" t="s">
        <v>95</v>
      </c>
      <c r="L26" s="19" t="s">
        <v>136</v>
      </c>
      <c r="M26" s="19" t="s">
        <v>137</v>
      </c>
      <c r="N26" s="19" t="s">
        <v>138</v>
      </c>
      <c r="O26" s="16" t="s">
        <v>466</v>
      </c>
      <c r="P26" s="110"/>
      <c r="Q26" s="110"/>
      <c r="R26" s="19"/>
    </row>
    <row r="27" spans="1:18" ht="15" customHeight="1" x14ac:dyDescent="0.2">
      <c r="A27" s="18" t="e">
        <f t="shared" si="0"/>
        <v>#REF!</v>
      </c>
      <c r="B27" s="11" t="s">
        <v>139</v>
      </c>
      <c r="C27" s="11" t="s">
        <v>140</v>
      </c>
      <c r="D27" s="22" t="s">
        <v>122</v>
      </c>
      <c r="E27" s="13" t="s">
        <v>28</v>
      </c>
      <c r="F27" s="13" t="s">
        <v>28</v>
      </c>
      <c r="G27" s="13" t="s">
        <v>28</v>
      </c>
      <c r="H27" s="13" t="s">
        <v>28</v>
      </c>
      <c r="I27" s="14" t="s">
        <v>29</v>
      </c>
      <c r="J27" s="10">
        <v>1</v>
      </c>
      <c r="K27" s="11" t="s">
        <v>52</v>
      </c>
      <c r="L27" s="11" t="s">
        <v>141</v>
      </c>
      <c r="M27" s="11" t="s">
        <v>142</v>
      </c>
      <c r="N27" s="11" t="s">
        <v>143</v>
      </c>
      <c r="O27" s="16" t="s">
        <v>466</v>
      </c>
      <c r="P27" s="110"/>
      <c r="Q27" s="110"/>
      <c r="R27" s="11"/>
    </row>
    <row r="28" spans="1:18" ht="15" customHeight="1" x14ac:dyDescent="0.2">
      <c r="A28" s="18" t="e">
        <f t="shared" si="0"/>
        <v>#REF!</v>
      </c>
      <c r="B28" s="63" t="s">
        <v>144</v>
      </c>
      <c r="C28" s="19" t="s">
        <v>145</v>
      </c>
      <c r="D28" s="22" t="s">
        <v>122</v>
      </c>
      <c r="E28" s="13" t="s">
        <v>28</v>
      </c>
      <c r="F28" s="13" t="s">
        <v>28</v>
      </c>
      <c r="G28" s="13" t="s">
        <v>28</v>
      </c>
      <c r="H28" s="13" t="s">
        <v>28</v>
      </c>
      <c r="I28" s="14" t="s">
        <v>29</v>
      </c>
      <c r="J28" s="18">
        <v>1</v>
      </c>
      <c r="K28" s="11" t="s">
        <v>52</v>
      </c>
      <c r="L28" s="19" t="s">
        <v>146</v>
      </c>
      <c r="M28" s="19" t="s">
        <v>147</v>
      </c>
      <c r="N28" s="19" t="s">
        <v>148</v>
      </c>
      <c r="O28" s="16" t="s">
        <v>466</v>
      </c>
      <c r="P28" s="110"/>
      <c r="Q28" s="110"/>
      <c r="R28" s="19"/>
    </row>
    <row r="29" spans="1:18" ht="15" customHeight="1" x14ac:dyDescent="0.2">
      <c r="A29" s="18" t="e">
        <f t="shared" si="0"/>
        <v>#REF!</v>
      </c>
      <c r="B29" s="11" t="s">
        <v>149</v>
      </c>
      <c r="C29" s="11" t="s">
        <v>150</v>
      </c>
      <c r="D29" s="22" t="s">
        <v>122</v>
      </c>
      <c r="E29" s="13" t="s">
        <v>28</v>
      </c>
      <c r="F29" s="13" t="s">
        <v>28</v>
      </c>
      <c r="G29" s="14" t="s">
        <v>29</v>
      </c>
      <c r="H29" s="14" t="s">
        <v>29</v>
      </c>
      <c r="I29" s="13" t="s">
        <v>28</v>
      </c>
      <c r="J29" s="10">
        <v>2</v>
      </c>
      <c r="K29" s="21" t="s">
        <v>95</v>
      </c>
      <c r="L29" s="64" t="s">
        <v>586</v>
      </c>
      <c r="M29" s="64" t="s">
        <v>587</v>
      </c>
      <c r="N29" s="72" t="s">
        <v>588</v>
      </c>
      <c r="O29" s="16" t="s">
        <v>466</v>
      </c>
      <c r="P29" s="110"/>
      <c r="Q29" s="110"/>
      <c r="R29" s="11"/>
    </row>
    <row r="30" spans="1:18" x14ac:dyDescent="0.2">
      <c r="A30" s="18" t="e">
        <f t="shared" si="0"/>
        <v>#REF!</v>
      </c>
      <c r="B30" s="63" t="s">
        <v>620</v>
      </c>
      <c r="C30" s="19" t="s">
        <v>36</v>
      </c>
      <c r="D30" s="22" t="s">
        <v>122</v>
      </c>
      <c r="E30" s="13" t="s">
        <v>28</v>
      </c>
      <c r="F30" s="13" t="s">
        <v>28</v>
      </c>
      <c r="G30" s="14" t="s">
        <v>29</v>
      </c>
      <c r="H30" s="14" t="s">
        <v>29</v>
      </c>
      <c r="I30" s="14" t="s">
        <v>29</v>
      </c>
      <c r="J30" s="18">
        <v>3</v>
      </c>
      <c r="K30" s="15" t="s">
        <v>30</v>
      </c>
      <c r="L30" s="19" t="s">
        <v>37</v>
      </c>
      <c r="M30" s="19" t="s">
        <v>38</v>
      </c>
      <c r="N30" s="19" t="s">
        <v>39</v>
      </c>
      <c r="O30" s="16" t="s">
        <v>466</v>
      </c>
      <c r="P30" s="110"/>
      <c r="Q30" s="110"/>
    </row>
    <row r="31" spans="1:18" ht="15" customHeight="1" x14ac:dyDescent="0.2">
      <c r="A31" s="18" t="e">
        <f t="shared" si="0"/>
        <v>#REF!</v>
      </c>
      <c r="B31" s="19" t="s">
        <v>152</v>
      </c>
      <c r="C31" s="19" t="s">
        <v>62</v>
      </c>
      <c r="D31" s="22" t="s">
        <v>122</v>
      </c>
      <c r="E31" s="13" t="s">
        <v>28</v>
      </c>
      <c r="F31" s="13" t="s">
        <v>28</v>
      </c>
      <c r="G31" s="13" t="s">
        <v>28</v>
      </c>
      <c r="H31" s="14" t="s">
        <v>29</v>
      </c>
      <c r="I31" s="13" t="s">
        <v>28</v>
      </c>
      <c r="J31" s="18">
        <v>1</v>
      </c>
      <c r="K31" s="11" t="s">
        <v>52</v>
      </c>
      <c r="L31" s="63" t="s">
        <v>589</v>
      </c>
      <c r="M31" s="63" t="s">
        <v>48</v>
      </c>
      <c r="N31" s="71" t="s">
        <v>49</v>
      </c>
      <c r="O31" s="16" t="s">
        <v>466</v>
      </c>
      <c r="P31" s="110"/>
      <c r="Q31" s="110"/>
      <c r="R31" s="11"/>
    </row>
    <row r="32" spans="1:18" ht="15" customHeight="1" x14ac:dyDescent="0.2">
      <c r="A32" s="18" t="e">
        <f t="shared" si="0"/>
        <v>#REF!</v>
      </c>
      <c r="B32" s="11" t="s">
        <v>153</v>
      </c>
      <c r="C32" s="11" t="s">
        <v>154</v>
      </c>
      <c r="D32" s="22" t="s">
        <v>122</v>
      </c>
      <c r="E32" s="13" t="s">
        <v>28</v>
      </c>
      <c r="F32" s="13" t="s">
        <v>28</v>
      </c>
      <c r="G32" s="14" t="s">
        <v>29</v>
      </c>
      <c r="H32" s="13" t="s">
        <v>28</v>
      </c>
      <c r="I32" s="13" t="s">
        <v>28</v>
      </c>
      <c r="J32" s="10">
        <v>1</v>
      </c>
      <c r="K32" s="11" t="s">
        <v>52</v>
      </c>
      <c r="L32" s="64" t="s">
        <v>590</v>
      </c>
      <c r="M32" s="64" t="s">
        <v>591</v>
      </c>
      <c r="N32" s="72" t="s">
        <v>592</v>
      </c>
      <c r="O32" s="16" t="s">
        <v>468</v>
      </c>
      <c r="P32" s="110"/>
      <c r="Q32" s="110"/>
      <c r="R32" s="19"/>
    </row>
    <row r="33" spans="1:18" ht="15" customHeight="1" x14ac:dyDescent="0.2">
      <c r="A33" s="18" t="e">
        <f t="shared" si="0"/>
        <v>#REF!</v>
      </c>
      <c r="B33" s="19" t="str">
        <f>[1]Feuil1!B22</f>
        <v>Centre de danse TAMANU</v>
      </c>
      <c r="C33" s="63" t="s">
        <v>81</v>
      </c>
      <c r="D33" s="66" t="s">
        <v>122</v>
      </c>
      <c r="E33" s="13" t="s">
        <v>28</v>
      </c>
      <c r="F33" s="13" t="s">
        <v>28</v>
      </c>
      <c r="G33" s="13" t="s">
        <v>28</v>
      </c>
      <c r="H33" s="13" t="s">
        <v>28</v>
      </c>
      <c r="I33" s="13" t="s">
        <v>28</v>
      </c>
      <c r="J33" s="18">
        <v>0</v>
      </c>
      <c r="K33" s="11" t="s">
        <v>52</v>
      </c>
      <c r="L33" s="63" t="s">
        <v>593</v>
      </c>
      <c r="M33" s="19" t="str">
        <f>[1]Feuil1!E22</f>
        <v xml:space="preserve">87 70 79 84 </v>
      </c>
      <c r="N33" s="63" t="str">
        <f>[1]Feuil1!F22</f>
        <v>centrededanse.tamanu@gmail.com</v>
      </c>
      <c r="O33" s="16" t="s">
        <v>466</v>
      </c>
      <c r="P33" s="110"/>
      <c r="Q33" s="110"/>
      <c r="R33" s="11"/>
    </row>
    <row r="34" spans="1:18" x14ac:dyDescent="0.2">
      <c r="A34" s="18" t="e">
        <f t="shared" si="0"/>
        <v>#REF!</v>
      </c>
      <c r="B34" s="11" t="s">
        <v>160</v>
      </c>
      <c r="C34" s="11" t="s">
        <v>145</v>
      </c>
      <c r="D34" s="22" t="s">
        <v>122</v>
      </c>
      <c r="E34" s="13" t="s">
        <v>28</v>
      </c>
      <c r="F34" s="14" t="s">
        <v>29</v>
      </c>
      <c r="G34" s="13" t="s">
        <v>28</v>
      </c>
      <c r="H34" s="13" t="s">
        <v>28</v>
      </c>
      <c r="I34" s="13" t="s">
        <v>28</v>
      </c>
      <c r="J34" s="10">
        <v>1</v>
      </c>
      <c r="K34" s="11" t="s">
        <v>52</v>
      </c>
      <c r="L34" s="11" t="s">
        <v>161</v>
      </c>
      <c r="M34" s="11" t="s">
        <v>162</v>
      </c>
      <c r="N34" s="11" t="s">
        <v>163</v>
      </c>
      <c r="O34" s="16" t="s">
        <v>466</v>
      </c>
      <c r="P34" s="110"/>
      <c r="Q34" s="110"/>
      <c r="R34" s="11"/>
    </row>
    <row r="35" spans="1:18" x14ac:dyDescent="0.2">
      <c r="A35" s="18" t="e">
        <f t="shared" si="0"/>
        <v>#REF!</v>
      </c>
      <c r="B35" s="19" t="s">
        <v>164</v>
      </c>
      <c r="C35" s="19" t="s">
        <v>165</v>
      </c>
      <c r="D35" s="22" t="s">
        <v>122</v>
      </c>
      <c r="E35" s="13" t="s">
        <v>28</v>
      </c>
      <c r="F35" s="14" t="s">
        <v>29</v>
      </c>
      <c r="G35" s="13" t="s">
        <v>28</v>
      </c>
      <c r="H35" s="13" t="s">
        <v>28</v>
      </c>
      <c r="I35" s="13" t="s">
        <v>28</v>
      </c>
      <c r="J35" s="18">
        <v>1</v>
      </c>
      <c r="K35" s="11" t="s">
        <v>52</v>
      </c>
      <c r="L35" s="19" t="s">
        <v>166</v>
      </c>
      <c r="M35" s="19" t="s">
        <v>167</v>
      </c>
      <c r="N35" s="19" t="s">
        <v>168</v>
      </c>
      <c r="O35" s="16" t="s">
        <v>468</v>
      </c>
      <c r="P35" s="111"/>
      <c r="Q35" s="111"/>
    </row>
    <row r="36" spans="1:18" x14ac:dyDescent="0.2">
      <c r="A36" s="18" t="e">
        <f t="shared" si="0"/>
        <v>#REF!</v>
      </c>
      <c r="B36" s="11" t="s">
        <v>169</v>
      </c>
      <c r="C36" s="11" t="s">
        <v>170</v>
      </c>
      <c r="D36" s="22" t="s">
        <v>122</v>
      </c>
      <c r="E36" s="13" t="s">
        <v>28</v>
      </c>
      <c r="F36" s="14" t="s">
        <v>29</v>
      </c>
      <c r="G36" s="13" t="s">
        <v>28</v>
      </c>
      <c r="H36" s="13" t="s">
        <v>28</v>
      </c>
      <c r="I36" s="13" t="s">
        <v>28</v>
      </c>
      <c r="J36" s="10">
        <v>1</v>
      </c>
      <c r="K36" s="11" t="s">
        <v>52</v>
      </c>
      <c r="L36" s="11" t="s">
        <v>171</v>
      </c>
      <c r="M36" s="11" t="s">
        <v>172</v>
      </c>
      <c r="N36" s="11" t="s">
        <v>173</v>
      </c>
      <c r="O36" s="16" t="s">
        <v>468</v>
      </c>
      <c r="P36" s="110"/>
      <c r="Q36" s="110"/>
    </row>
    <row r="37" spans="1:18" ht="15" customHeight="1" x14ac:dyDescent="0.2">
      <c r="A37" s="18" t="e">
        <f t="shared" si="0"/>
        <v>#REF!</v>
      </c>
      <c r="B37" s="63" t="s">
        <v>499</v>
      </c>
      <c r="C37" s="63" t="s">
        <v>26</v>
      </c>
      <c r="D37" s="66" t="s">
        <v>122</v>
      </c>
      <c r="E37" s="13"/>
      <c r="F37" s="13"/>
      <c r="G37" s="13"/>
      <c r="H37" s="13"/>
      <c r="I37" s="13"/>
      <c r="J37" s="18">
        <v>0</v>
      </c>
      <c r="K37" s="11" t="s">
        <v>52</v>
      </c>
      <c r="L37" s="63" t="s">
        <v>594</v>
      </c>
      <c r="M37" s="63" t="s">
        <v>500</v>
      </c>
      <c r="N37" s="71" t="s">
        <v>501</v>
      </c>
      <c r="O37" s="16" t="s">
        <v>466</v>
      </c>
      <c r="P37" s="110"/>
      <c r="Q37" s="110"/>
      <c r="R37" s="19"/>
    </row>
    <row r="38" spans="1:18" ht="15" customHeight="1" x14ac:dyDescent="0.2">
      <c r="A38" s="18" t="e">
        <f t="shared" si="0"/>
        <v>#REF!</v>
      </c>
      <c r="B38" s="64" t="s">
        <v>595</v>
      </c>
      <c r="C38" s="64" t="s">
        <v>596</v>
      </c>
      <c r="D38" s="66" t="s">
        <v>122</v>
      </c>
      <c r="E38" s="13"/>
      <c r="F38" s="13"/>
      <c r="G38" s="13"/>
      <c r="H38" s="13"/>
      <c r="I38" s="13"/>
      <c r="J38" s="18">
        <v>0</v>
      </c>
      <c r="K38" s="11" t="s">
        <v>52</v>
      </c>
      <c r="L38" s="64" t="s">
        <v>597</v>
      </c>
      <c r="M38" s="64" t="s">
        <v>598</v>
      </c>
      <c r="N38" s="72" t="s">
        <v>599</v>
      </c>
      <c r="O38" s="16" t="s">
        <v>466</v>
      </c>
      <c r="P38" s="110"/>
      <c r="Q38" s="110"/>
      <c r="R38" s="19"/>
    </row>
    <row r="39" spans="1:18" ht="15" customHeight="1" x14ac:dyDescent="0.2">
      <c r="A39" s="18" t="e">
        <f t="shared" si="0"/>
        <v>#REF!</v>
      </c>
      <c r="B39" s="63" t="s">
        <v>56</v>
      </c>
      <c r="C39" s="19" t="s">
        <v>57</v>
      </c>
      <c r="D39" s="66" t="s">
        <v>122</v>
      </c>
      <c r="E39" s="13" t="s">
        <v>28</v>
      </c>
      <c r="F39" s="13" t="s">
        <v>28</v>
      </c>
      <c r="G39" s="13" t="s">
        <v>28</v>
      </c>
      <c r="H39" s="13" t="s">
        <v>28</v>
      </c>
      <c r="I39" s="14" t="s">
        <v>29</v>
      </c>
      <c r="J39" s="18">
        <v>1</v>
      </c>
      <c r="K39" s="11" t="s">
        <v>52</v>
      </c>
      <c r="L39" s="19" t="s">
        <v>58</v>
      </c>
      <c r="M39" s="19" t="s">
        <v>59</v>
      </c>
      <c r="N39" s="19" t="s">
        <v>60</v>
      </c>
      <c r="O39" s="16" t="s">
        <v>466</v>
      </c>
      <c r="P39" s="110"/>
      <c r="Q39" s="110"/>
      <c r="R39" s="11"/>
    </row>
    <row r="40" spans="1:18" ht="15" customHeight="1" x14ac:dyDescent="0.2">
      <c r="A40" s="18" t="e">
        <f t="shared" si="0"/>
        <v>#REF!</v>
      </c>
      <c r="B40" s="19" t="s">
        <v>567</v>
      </c>
      <c r="C40" s="63" t="s">
        <v>81</v>
      </c>
      <c r="D40" s="66" t="s">
        <v>122</v>
      </c>
      <c r="E40" s="14" t="s">
        <v>28</v>
      </c>
      <c r="F40" s="13" t="s">
        <v>28</v>
      </c>
      <c r="G40" s="13" t="s">
        <v>28</v>
      </c>
      <c r="H40" s="13" t="s">
        <v>28</v>
      </c>
      <c r="I40" s="13" t="s">
        <v>28</v>
      </c>
      <c r="J40" s="18">
        <v>0</v>
      </c>
      <c r="K40" s="11" t="s">
        <v>52</v>
      </c>
      <c r="L40" s="63" t="s">
        <v>600</v>
      </c>
      <c r="M40" s="19" t="s">
        <v>568</v>
      </c>
      <c r="N40" s="19" t="s">
        <v>569</v>
      </c>
      <c r="O40" s="16" t="s">
        <v>466</v>
      </c>
      <c r="P40" s="110"/>
      <c r="Q40" s="110"/>
      <c r="R40" s="19"/>
    </row>
    <row r="41" spans="1:18" ht="15" customHeight="1" x14ac:dyDescent="0.2">
      <c r="A41" s="18" t="e">
        <f t="shared" si="0"/>
        <v>#REF!</v>
      </c>
      <c r="B41" s="19" t="s">
        <v>556</v>
      </c>
      <c r="C41" s="19" t="s">
        <v>559</v>
      </c>
      <c r="D41" s="22" t="s">
        <v>122</v>
      </c>
      <c r="E41" s="14" t="s">
        <v>28</v>
      </c>
      <c r="F41" s="13" t="s">
        <v>28</v>
      </c>
      <c r="G41" s="13" t="s">
        <v>28</v>
      </c>
      <c r="H41" s="13" t="s">
        <v>28</v>
      </c>
      <c r="I41" s="13" t="s">
        <v>28</v>
      </c>
      <c r="J41" s="18">
        <v>0</v>
      </c>
      <c r="K41" s="11" t="s">
        <v>52</v>
      </c>
      <c r="L41" s="19" t="s">
        <v>560</v>
      </c>
      <c r="M41" s="19" t="s">
        <v>557</v>
      </c>
      <c r="N41" s="19" t="s">
        <v>558</v>
      </c>
      <c r="O41" s="16" t="s">
        <v>466</v>
      </c>
      <c r="P41" s="110"/>
      <c r="Q41" s="110"/>
      <c r="R41" s="11"/>
    </row>
    <row r="42" spans="1:18" ht="15" customHeight="1" x14ac:dyDescent="0.2">
      <c r="A42" s="18" t="e">
        <f t="shared" si="0"/>
        <v>#REF!</v>
      </c>
      <c r="B42" s="11" t="s">
        <v>546</v>
      </c>
      <c r="C42" s="11" t="s">
        <v>549</v>
      </c>
      <c r="D42" s="22" t="s">
        <v>122</v>
      </c>
      <c r="E42" s="13" t="s">
        <v>28</v>
      </c>
      <c r="F42" s="13" t="s">
        <v>28</v>
      </c>
      <c r="G42" s="13" t="s">
        <v>28</v>
      </c>
      <c r="H42" s="13" t="s">
        <v>28</v>
      </c>
      <c r="I42" s="13" t="s">
        <v>28</v>
      </c>
      <c r="J42" s="18">
        <v>0</v>
      </c>
      <c r="K42" s="11" t="s">
        <v>52</v>
      </c>
      <c r="L42" s="64" t="s">
        <v>602</v>
      </c>
      <c r="M42" s="11" t="s">
        <v>547</v>
      </c>
      <c r="N42" s="11" t="s">
        <v>548</v>
      </c>
      <c r="O42" s="16" t="s">
        <v>466</v>
      </c>
      <c r="P42" s="110"/>
      <c r="Q42" s="110"/>
      <c r="R42" s="11"/>
    </row>
    <row r="43" spans="1:18" ht="15" customHeight="1" x14ac:dyDescent="0.2">
      <c r="A43" s="18" t="e">
        <f t="shared" si="0"/>
        <v>#REF!</v>
      </c>
      <c r="B43" s="63" t="s">
        <v>538</v>
      </c>
      <c r="C43" s="19" t="s">
        <v>103</v>
      </c>
      <c r="D43" s="22" t="s">
        <v>122</v>
      </c>
      <c r="E43" s="13" t="s">
        <v>28</v>
      </c>
      <c r="F43" s="13" t="s">
        <v>28</v>
      </c>
      <c r="G43" s="13" t="s">
        <v>28</v>
      </c>
      <c r="H43" s="13" t="s">
        <v>28</v>
      </c>
      <c r="I43" s="14" t="s">
        <v>29</v>
      </c>
      <c r="J43" s="18">
        <v>1</v>
      </c>
      <c r="K43" s="11" t="s">
        <v>52</v>
      </c>
      <c r="L43" s="63" t="s">
        <v>541</v>
      </c>
      <c r="M43" s="63" t="s">
        <v>539</v>
      </c>
      <c r="N43" s="71" t="s">
        <v>540</v>
      </c>
      <c r="O43" s="16" t="s">
        <v>466</v>
      </c>
      <c r="P43" s="110"/>
      <c r="Q43" s="110"/>
      <c r="R43" s="19"/>
    </row>
    <row r="44" spans="1:18" ht="15" customHeight="1" x14ac:dyDescent="0.2">
      <c r="A44" s="18" t="e">
        <f t="shared" si="0"/>
        <v>#REF!</v>
      </c>
      <c r="B44" s="63" t="s">
        <v>472</v>
      </c>
      <c r="C44" s="19" t="s">
        <v>474</v>
      </c>
      <c r="D44" s="22" t="s">
        <v>122</v>
      </c>
      <c r="E44" s="13" t="s">
        <v>28</v>
      </c>
      <c r="F44" s="13" t="s">
        <v>28</v>
      </c>
      <c r="G44" s="14" t="s">
        <v>28</v>
      </c>
      <c r="H44" s="13" t="s">
        <v>28</v>
      </c>
      <c r="I44" s="13" t="s">
        <v>28</v>
      </c>
      <c r="J44" s="18">
        <v>0</v>
      </c>
      <c r="K44" s="11" t="s">
        <v>52</v>
      </c>
      <c r="L44" s="63" t="s">
        <v>603</v>
      </c>
      <c r="M44" s="19" t="s">
        <v>485</v>
      </c>
      <c r="N44" s="19" t="s">
        <v>545</v>
      </c>
      <c r="O44" s="16" t="s">
        <v>466</v>
      </c>
      <c r="P44" s="110"/>
      <c r="Q44" s="110"/>
      <c r="R44" s="11"/>
    </row>
    <row r="45" spans="1:18" ht="15" customHeight="1" x14ac:dyDescent="0.2">
      <c r="A45" s="18" t="e">
        <f t="shared" si="0"/>
        <v>#REF!</v>
      </c>
      <c r="B45" s="64" t="s">
        <v>473</v>
      </c>
      <c r="C45" s="64" t="s">
        <v>542</v>
      </c>
      <c r="D45" s="79" t="s">
        <v>183</v>
      </c>
      <c r="E45" s="13" t="s">
        <v>28</v>
      </c>
      <c r="F45" s="13" t="s">
        <v>28</v>
      </c>
      <c r="G45" s="13" t="s">
        <v>28</v>
      </c>
      <c r="H45" s="13" t="s">
        <v>28</v>
      </c>
      <c r="I45" s="13" t="s">
        <v>28</v>
      </c>
      <c r="J45" s="18">
        <v>0</v>
      </c>
      <c r="K45" s="11" t="s">
        <v>52</v>
      </c>
      <c r="L45" s="11" t="s">
        <v>621</v>
      </c>
      <c r="M45" s="64" t="s">
        <v>543</v>
      </c>
      <c r="N45" s="72" t="s">
        <v>544</v>
      </c>
      <c r="O45" s="16" t="s">
        <v>466</v>
      </c>
      <c r="P45" s="110"/>
      <c r="Q45" s="110"/>
      <c r="R45" s="19"/>
    </row>
    <row r="46" spans="1:18" ht="15" customHeight="1" x14ac:dyDescent="0.2">
      <c r="A46" s="18" t="e">
        <f t="shared" si="0"/>
        <v>#REF!</v>
      </c>
      <c r="B46" s="11" t="s">
        <v>181</v>
      </c>
      <c r="C46" s="11" t="s">
        <v>182</v>
      </c>
      <c r="D46" s="79" t="s">
        <v>183</v>
      </c>
      <c r="E46" s="14" t="s">
        <v>29</v>
      </c>
      <c r="F46" s="13" t="s">
        <v>28</v>
      </c>
      <c r="G46" s="14" t="s">
        <v>29</v>
      </c>
      <c r="H46" s="14" t="s">
        <v>29</v>
      </c>
      <c r="I46" s="14" t="s">
        <v>29</v>
      </c>
      <c r="J46" s="10">
        <v>4</v>
      </c>
      <c r="K46" s="15" t="s">
        <v>30</v>
      </c>
      <c r="L46" s="11" t="s">
        <v>184</v>
      </c>
      <c r="M46" s="11" t="s">
        <v>185</v>
      </c>
      <c r="N46" s="11" t="s">
        <v>186</v>
      </c>
      <c r="O46" s="16" t="s">
        <v>466</v>
      </c>
      <c r="P46" s="110"/>
      <c r="Q46" s="110"/>
      <c r="R46" s="19"/>
    </row>
    <row r="47" spans="1:18" ht="15" customHeight="1" x14ac:dyDescent="0.2">
      <c r="A47" s="18" t="e">
        <f t="shared" si="0"/>
        <v>#REF!</v>
      </c>
      <c r="B47" s="19" t="s">
        <v>187</v>
      </c>
      <c r="C47" s="19" t="s">
        <v>188</v>
      </c>
      <c r="D47" s="79" t="s">
        <v>183</v>
      </c>
      <c r="E47" s="14" t="s">
        <v>29</v>
      </c>
      <c r="F47" s="13" t="s">
        <v>28</v>
      </c>
      <c r="G47" s="14" t="s">
        <v>29</v>
      </c>
      <c r="H47" s="14" t="s">
        <v>29</v>
      </c>
      <c r="I47" s="14" t="s">
        <v>29</v>
      </c>
      <c r="J47" s="18">
        <v>4</v>
      </c>
      <c r="K47" s="15" t="s">
        <v>30</v>
      </c>
      <c r="L47" s="19" t="s">
        <v>189</v>
      </c>
      <c r="M47" s="19" t="s">
        <v>190</v>
      </c>
      <c r="N47" s="19" t="s">
        <v>191</v>
      </c>
      <c r="O47" s="16" t="s">
        <v>466</v>
      </c>
      <c r="P47" s="110"/>
      <c r="Q47" s="110"/>
      <c r="R47" s="11"/>
    </row>
    <row r="48" spans="1:18" ht="15" customHeight="1" x14ac:dyDescent="0.2">
      <c r="A48" s="18" t="e">
        <f t="shared" si="0"/>
        <v>#REF!</v>
      </c>
      <c r="B48" s="11" t="s">
        <v>192</v>
      </c>
      <c r="C48" s="11" t="s">
        <v>193</v>
      </c>
      <c r="D48" s="79" t="s">
        <v>183</v>
      </c>
      <c r="E48" s="14" t="s">
        <v>29</v>
      </c>
      <c r="F48" s="14" t="s">
        <v>29</v>
      </c>
      <c r="G48" s="14" t="s">
        <v>29</v>
      </c>
      <c r="H48" s="14" t="s">
        <v>29</v>
      </c>
      <c r="I48" s="14" t="s">
        <v>29</v>
      </c>
      <c r="J48" s="10">
        <v>5</v>
      </c>
      <c r="K48" s="15" t="s">
        <v>30</v>
      </c>
      <c r="L48" s="11" t="s">
        <v>194</v>
      </c>
      <c r="M48" s="11" t="s">
        <v>195</v>
      </c>
      <c r="N48" s="11" t="s">
        <v>196</v>
      </c>
      <c r="O48" s="16" t="s">
        <v>466</v>
      </c>
      <c r="P48" s="110"/>
      <c r="Q48" s="110"/>
      <c r="R48" s="19"/>
    </row>
    <row r="49" spans="1:18" ht="15" customHeight="1" x14ac:dyDescent="0.2">
      <c r="A49" s="18" t="e">
        <f t="shared" si="0"/>
        <v>#REF!</v>
      </c>
      <c r="B49" s="19" t="s">
        <v>197</v>
      </c>
      <c r="C49" s="19" t="s">
        <v>198</v>
      </c>
      <c r="D49" s="79" t="s">
        <v>183</v>
      </c>
      <c r="E49" s="13" t="s">
        <v>28</v>
      </c>
      <c r="F49" s="13" t="s">
        <v>28</v>
      </c>
      <c r="G49" s="14" t="s">
        <v>29</v>
      </c>
      <c r="H49" s="14" t="s">
        <v>29</v>
      </c>
      <c r="I49" s="13" t="s">
        <v>28</v>
      </c>
      <c r="J49" s="18">
        <v>2</v>
      </c>
      <c r="K49" s="21" t="s">
        <v>95</v>
      </c>
      <c r="L49" s="63" t="s">
        <v>604</v>
      </c>
      <c r="M49" s="63" t="s">
        <v>605</v>
      </c>
      <c r="N49" s="71" t="s">
        <v>606</v>
      </c>
      <c r="O49" s="16" t="s">
        <v>468</v>
      </c>
      <c r="P49" s="110"/>
      <c r="Q49" s="110"/>
      <c r="R49" s="11"/>
    </row>
    <row r="50" spans="1:18" ht="15" customHeight="1" x14ac:dyDescent="0.2">
      <c r="A50" s="18" t="e">
        <f t="shared" si="0"/>
        <v>#REF!</v>
      </c>
      <c r="B50" s="11" t="str">
        <f>[1]Feuil1!B17</f>
        <v>Kids camp Moorea</v>
      </c>
      <c r="C50" s="64" t="s">
        <v>570</v>
      </c>
      <c r="D50" s="68" t="s">
        <v>483</v>
      </c>
      <c r="E50" s="13" t="s">
        <v>28</v>
      </c>
      <c r="F50" s="13" t="s">
        <v>28</v>
      </c>
      <c r="G50" s="13" t="s">
        <v>28</v>
      </c>
      <c r="H50" s="13" t="s">
        <v>28</v>
      </c>
      <c r="I50" s="13" t="s">
        <v>28</v>
      </c>
      <c r="J50" s="18">
        <v>0</v>
      </c>
      <c r="K50" s="11" t="s">
        <v>52</v>
      </c>
      <c r="L50" s="64" t="s">
        <v>611</v>
      </c>
      <c r="M50" s="11" t="str">
        <f>[1]Feuil1!E17</f>
        <v>89 79 90 74</v>
      </c>
      <c r="N50" s="11" t="str">
        <f>[1]Feuil1!F17</f>
        <v>kidscamptahiti@gmail.com</v>
      </c>
      <c r="O50" s="16" t="s">
        <v>466</v>
      </c>
      <c r="P50" s="110"/>
      <c r="Q50" s="110"/>
      <c r="R50" s="11"/>
    </row>
    <row r="51" spans="1:18" ht="15" customHeight="1" x14ac:dyDescent="0.2">
      <c r="A51" s="18" t="e">
        <f t="shared" si="0"/>
        <v>#REF!</v>
      </c>
      <c r="B51" s="64" t="s">
        <v>513</v>
      </c>
      <c r="C51" s="64" t="s">
        <v>571</v>
      </c>
      <c r="D51" s="70" t="s">
        <v>183</v>
      </c>
      <c r="E51" s="13"/>
      <c r="F51" s="13"/>
      <c r="G51" s="13"/>
      <c r="H51" s="13"/>
      <c r="I51" s="13"/>
      <c r="J51" s="18">
        <v>0</v>
      </c>
      <c r="K51" s="11" t="s">
        <v>52</v>
      </c>
      <c r="L51" s="64" t="s">
        <v>612</v>
      </c>
      <c r="M51" s="64" t="s">
        <v>511</v>
      </c>
      <c r="N51" s="72" t="s">
        <v>512</v>
      </c>
      <c r="O51" s="16" t="s">
        <v>466</v>
      </c>
      <c r="P51" s="110"/>
      <c r="Q51" s="110"/>
      <c r="R51" s="19"/>
    </row>
    <row r="52" spans="1:18" ht="15" customHeight="1" x14ac:dyDescent="0.2">
      <c r="A52" s="18" t="e">
        <f t="shared" si="0"/>
        <v>#REF!</v>
      </c>
      <c r="B52" s="63" t="s">
        <v>523</v>
      </c>
      <c r="C52" s="63" t="s">
        <v>62</v>
      </c>
      <c r="D52" s="70" t="s">
        <v>483</v>
      </c>
      <c r="E52" s="13"/>
      <c r="F52" s="13"/>
      <c r="G52" s="13"/>
      <c r="H52" s="13"/>
      <c r="I52" s="13"/>
      <c r="J52" s="18">
        <v>0</v>
      </c>
      <c r="K52" s="11" t="s">
        <v>52</v>
      </c>
      <c r="L52" s="63" t="s">
        <v>610</v>
      </c>
      <c r="M52" s="63" t="s">
        <v>48</v>
      </c>
      <c r="N52" s="71" t="s">
        <v>49</v>
      </c>
      <c r="O52" s="16" t="s">
        <v>466</v>
      </c>
      <c r="P52" s="110"/>
      <c r="Q52" s="110"/>
      <c r="R52" s="11"/>
    </row>
    <row r="53" spans="1:18" ht="15" customHeight="1" x14ac:dyDescent="0.2">
      <c r="A53" s="18" t="e">
        <f t="shared" si="0"/>
        <v>#REF!</v>
      </c>
      <c r="B53" s="11" t="s">
        <v>206</v>
      </c>
      <c r="C53" s="11" t="s">
        <v>207</v>
      </c>
      <c r="D53" s="79" t="s">
        <v>183</v>
      </c>
      <c r="E53" s="13" t="s">
        <v>28</v>
      </c>
      <c r="F53" s="13" t="s">
        <v>28</v>
      </c>
      <c r="G53" s="13" t="s">
        <v>28</v>
      </c>
      <c r="H53" s="13" t="s">
        <v>28</v>
      </c>
      <c r="I53" s="14" t="s">
        <v>29</v>
      </c>
      <c r="J53" s="10">
        <v>1</v>
      </c>
      <c r="K53" s="11" t="s">
        <v>52</v>
      </c>
      <c r="L53" s="11" t="s">
        <v>208</v>
      </c>
      <c r="M53" s="11" t="s">
        <v>209</v>
      </c>
      <c r="N53" s="11" t="s">
        <v>210</v>
      </c>
      <c r="O53" s="16" t="s">
        <v>468</v>
      </c>
      <c r="P53" s="110"/>
      <c r="Q53" s="110"/>
      <c r="R53" s="19"/>
    </row>
    <row r="54" spans="1:18" ht="15" customHeight="1" x14ac:dyDescent="0.2">
      <c r="A54" s="18" t="e">
        <f t="shared" si="0"/>
        <v>#REF!</v>
      </c>
      <c r="B54" s="63" t="s">
        <v>56</v>
      </c>
      <c r="C54" s="19" t="s">
        <v>57</v>
      </c>
      <c r="D54" s="79" t="s">
        <v>183</v>
      </c>
      <c r="E54" s="13" t="s">
        <v>28</v>
      </c>
      <c r="F54" s="13" t="s">
        <v>28</v>
      </c>
      <c r="G54" s="13" t="s">
        <v>28</v>
      </c>
      <c r="H54" s="13" t="s">
        <v>28</v>
      </c>
      <c r="I54" s="14" t="s">
        <v>29</v>
      </c>
      <c r="J54" s="18">
        <v>1</v>
      </c>
      <c r="K54" s="11" t="s">
        <v>52</v>
      </c>
      <c r="L54" s="19" t="s">
        <v>58</v>
      </c>
      <c r="M54" s="19" t="s">
        <v>59</v>
      </c>
      <c r="N54" s="19" t="s">
        <v>60</v>
      </c>
      <c r="O54" s="16" t="s">
        <v>466</v>
      </c>
      <c r="P54" s="110"/>
      <c r="Q54" s="110"/>
      <c r="R54" s="11"/>
    </row>
    <row r="55" spans="1:18" ht="15" customHeight="1" x14ac:dyDescent="0.2">
      <c r="A55" s="18" t="e">
        <f t="shared" si="0"/>
        <v>#REF!</v>
      </c>
      <c r="B55" s="19" t="s">
        <v>211</v>
      </c>
      <c r="C55" s="19" t="s">
        <v>26</v>
      </c>
      <c r="D55" s="79" t="s">
        <v>183</v>
      </c>
      <c r="E55" s="13" t="s">
        <v>28</v>
      </c>
      <c r="F55" s="13" t="s">
        <v>28</v>
      </c>
      <c r="G55" s="13" t="s">
        <v>28</v>
      </c>
      <c r="H55" s="13" t="s">
        <v>28</v>
      </c>
      <c r="I55" s="14" t="s">
        <v>29</v>
      </c>
      <c r="J55" s="18">
        <v>1</v>
      </c>
      <c r="K55" s="11" t="s">
        <v>52</v>
      </c>
      <c r="L55" s="19" t="s">
        <v>212</v>
      </c>
      <c r="M55" s="19" t="s">
        <v>213</v>
      </c>
      <c r="N55" s="19" t="s">
        <v>214</v>
      </c>
      <c r="O55" s="16" t="s">
        <v>466</v>
      </c>
      <c r="P55" s="110"/>
      <c r="Q55" s="110"/>
      <c r="R55" s="19"/>
    </row>
    <row r="56" spans="1:18" ht="15" customHeight="1" x14ac:dyDescent="0.2">
      <c r="A56" s="18" t="e">
        <f t="shared" si="0"/>
        <v>#REF!</v>
      </c>
      <c r="B56" s="11" t="s">
        <v>546</v>
      </c>
      <c r="C56" s="11" t="s">
        <v>549</v>
      </c>
      <c r="D56" s="79" t="s">
        <v>183</v>
      </c>
      <c r="E56" s="13" t="s">
        <v>28</v>
      </c>
      <c r="F56" s="13" t="s">
        <v>28</v>
      </c>
      <c r="G56" s="13" t="s">
        <v>28</v>
      </c>
      <c r="H56" s="13" t="s">
        <v>28</v>
      </c>
      <c r="I56" s="13" t="s">
        <v>28</v>
      </c>
      <c r="J56" s="18">
        <v>0</v>
      </c>
      <c r="K56" s="11" t="s">
        <v>52</v>
      </c>
      <c r="L56" s="64" t="s">
        <v>602</v>
      </c>
      <c r="M56" s="11" t="s">
        <v>547</v>
      </c>
      <c r="N56" s="11" t="s">
        <v>548</v>
      </c>
      <c r="O56" s="16" t="s">
        <v>466</v>
      </c>
      <c r="P56" s="110"/>
      <c r="Q56" s="110"/>
      <c r="R56" s="11"/>
    </row>
    <row r="57" spans="1:18" ht="15" customHeight="1" x14ac:dyDescent="0.2">
      <c r="A57" s="18" t="e">
        <f t="shared" si="0"/>
        <v>#REF!</v>
      </c>
      <c r="B57" s="11" t="s">
        <v>215</v>
      </c>
      <c r="C57" s="11" t="s">
        <v>145</v>
      </c>
      <c r="D57" s="79" t="s">
        <v>183</v>
      </c>
      <c r="E57" s="13" t="s">
        <v>28</v>
      </c>
      <c r="F57" s="13" t="s">
        <v>28</v>
      </c>
      <c r="G57" s="14" t="s">
        <v>29</v>
      </c>
      <c r="H57" s="13" t="s">
        <v>28</v>
      </c>
      <c r="I57" s="13" t="s">
        <v>28</v>
      </c>
      <c r="J57" s="10">
        <v>1</v>
      </c>
      <c r="K57" s="11" t="s">
        <v>52</v>
      </c>
      <c r="L57" s="64" t="s">
        <v>607</v>
      </c>
      <c r="M57" s="64" t="s">
        <v>608</v>
      </c>
      <c r="N57" s="72" t="s">
        <v>609</v>
      </c>
      <c r="O57" s="16" t="s">
        <v>466</v>
      </c>
      <c r="P57" s="110"/>
      <c r="Q57" s="110"/>
      <c r="R57" s="19"/>
    </row>
    <row r="58" spans="1:18" ht="15" customHeight="1" x14ac:dyDescent="0.2">
      <c r="A58" s="18" t="e">
        <f t="shared" si="0"/>
        <v>#REF!</v>
      </c>
      <c r="B58" s="19" t="s">
        <v>216</v>
      </c>
      <c r="C58" s="19" t="s">
        <v>217</v>
      </c>
      <c r="D58" s="79" t="s">
        <v>183</v>
      </c>
      <c r="E58" s="13" t="s">
        <v>28</v>
      </c>
      <c r="F58" s="13" t="s">
        <v>28</v>
      </c>
      <c r="G58" s="14" t="s">
        <v>29</v>
      </c>
      <c r="H58" s="13" t="s">
        <v>28</v>
      </c>
      <c r="I58" s="13" t="s">
        <v>28</v>
      </c>
      <c r="J58" s="18">
        <v>1</v>
      </c>
      <c r="K58" s="11" t="s">
        <v>52</v>
      </c>
      <c r="L58" s="63" t="s">
        <v>613</v>
      </c>
      <c r="M58" s="63" t="s">
        <v>614</v>
      </c>
      <c r="N58" s="19" t="s">
        <v>218</v>
      </c>
      <c r="O58" s="16" t="s">
        <v>468</v>
      </c>
      <c r="P58" s="110"/>
      <c r="Q58" s="110"/>
      <c r="R58" s="11"/>
    </row>
    <row r="59" spans="1:18" ht="15" customHeight="1" x14ac:dyDescent="0.2">
      <c r="A59" s="18" t="e">
        <f t="shared" si="0"/>
        <v>#REF!</v>
      </c>
      <c r="B59" s="11" t="s">
        <v>25</v>
      </c>
      <c r="C59" s="11" t="s">
        <v>26</v>
      </c>
      <c r="D59" s="79" t="s">
        <v>183</v>
      </c>
      <c r="E59" s="13" t="s">
        <v>28</v>
      </c>
      <c r="F59" s="13" t="s">
        <v>28</v>
      </c>
      <c r="G59" s="14" t="s">
        <v>29</v>
      </c>
      <c r="H59" s="14" t="s">
        <v>29</v>
      </c>
      <c r="I59" s="14" t="s">
        <v>29</v>
      </c>
      <c r="J59" s="10">
        <v>3</v>
      </c>
      <c r="K59" s="15" t="s">
        <v>30</v>
      </c>
      <c r="L59" s="64" t="s">
        <v>579</v>
      </c>
      <c r="M59" s="11" t="s">
        <v>32</v>
      </c>
      <c r="N59" s="11" t="s">
        <v>33</v>
      </c>
      <c r="O59" s="16" t="s">
        <v>466</v>
      </c>
      <c r="P59" s="110"/>
      <c r="Q59" s="110"/>
      <c r="R59" s="19"/>
    </row>
    <row r="60" spans="1:18" ht="15" customHeight="1" x14ac:dyDescent="0.2">
      <c r="A60" s="18" t="e">
        <f t="shared" si="0"/>
        <v>#REF!</v>
      </c>
      <c r="B60" s="11" t="s">
        <v>80</v>
      </c>
      <c r="C60" s="11" t="s">
        <v>81</v>
      </c>
      <c r="D60" s="79" t="s">
        <v>183</v>
      </c>
      <c r="E60" s="13" t="s">
        <v>28</v>
      </c>
      <c r="F60" s="13" t="s">
        <v>28</v>
      </c>
      <c r="G60" s="14" t="s">
        <v>29</v>
      </c>
      <c r="H60" s="14" t="s">
        <v>29</v>
      </c>
      <c r="I60" s="14" t="s">
        <v>29</v>
      </c>
      <c r="J60" s="10">
        <v>3</v>
      </c>
      <c r="K60" s="15" t="s">
        <v>30</v>
      </c>
      <c r="L60" s="64" t="s">
        <v>533</v>
      </c>
      <c r="M60" s="64" t="s">
        <v>534</v>
      </c>
      <c r="N60" s="11" t="s">
        <v>83</v>
      </c>
      <c r="O60" s="16" t="s">
        <v>466</v>
      </c>
      <c r="P60" s="110"/>
      <c r="Q60" s="110"/>
      <c r="R60" s="11"/>
    </row>
    <row r="61" spans="1:18" ht="15" customHeight="1" x14ac:dyDescent="0.2">
      <c r="A61" s="18" t="e">
        <f t="shared" ref="A61:A79" si="1">1+A60</f>
        <v>#REF!</v>
      </c>
      <c r="B61" s="19" t="s">
        <v>84</v>
      </c>
      <c r="C61" s="19" t="s">
        <v>81</v>
      </c>
      <c r="D61" s="79" t="s">
        <v>183</v>
      </c>
      <c r="E61" s="14" t="s">
        <v>29</v>
      </c>
      <c r="F61" s="14" t="s">
        <v>29</v>
      </c>
      <c r="G61" s="13" t="s">
        <v>28</v>
      </c>
      <c r="H61" s="13" t="s">
        <v>28</v>
      </c>
      <c r="I61" s="14" t="s">
        <v>29</v>
      </c>
      <c r="J61" s="18">
        <v>3</v>
      </c>
      <c r="K61" s="15" t="s">
        <v>30</v>
      </c>
      <c r="L61" s="19" t="s">
        <v>85</v>
      </c>
      <c r="M61" s="19" t="s">
        <v>82</v>
      </c>
      <c r="N61" s="19" t="s">
        <v>86</v>
      </c>
      <c r="O61" s="16" t="s">
        <v>466</v>
      </c>
      <c r="P61" s="110"/>
      <c r="Q61" s="110"/>
      <c r="R61" s="19"/>
    </row>
    <row r="62" spans="1:18" ht="15" customHeight="1" x14ac:dyDescent="0.2">
      <c r="A62" s="18" t="e">
        <f t="shared" si="1"/>
        <v>#REF!</v>
      </c>
      <c r="B62" s="63" t="s">
        <v>620</v>
      </c>
      <c r="C62" s="19" t="s">
        <v>36</v>
      </c>
      <c r="D62" s="79" t="s">
        <v>183</v>
      </c>
      <c r="E62" s="13" t="s">
        <v>28</v>
      </c>
      <c r="F62" s="13" t="s">
        <v>28</v>
      </c>
      <c r="G62" s="14" t="s">
        <v>29</v>
      </c>
      <c r="H62" s="14" t="s">
        <v>29</v>
      </c>
      <c r="I62" s="14" t="s">
        <v>29</v>
      </c>
      <c r="J62" s="18">
        <v>3</v>
      </c>
      <c r="K62" s="15" t="s">
        <v>30</v>
      </c>
      <c r="L62" s="19" t="s">
        <v>37</v>
      </c>
      <c r="M62" s="19" t="s">
        <v>38</v>
      </c>
      <c r="N62" s="19" t="s">
        <v>39</v>
      </c>
      <c r="O62" s="16" t="s">
        <v>466</v>
      </c>
      <c r="P62" s="110"/>
      <c r="Q62" s="110"/>
      <c r="R62" s="11"/>
    </row>
    <row r="63" spans="1:18" ht="15" customHeight="1" x14ac:dyDescent="0.2">
      <c r="A63" s="18" t="e">
        <f t="shared" si="1"/>
        <v>#REF!</v>
      </c>
      <c r="B63" s="11" t="s">
        <v>288</v>
      </c>
      <c r="C63" s="11" t="s">
        <v>289</v>
      </c>
      <c r="D63" s="79" t="s">
        <v>183</v>
      </c>
      <c r="E63" s="14" t="s">
        <v>29</v>
      </c>
      <c r="F63" s="14" t="s">
        <v>29</v>
      </c>
      <c r="G63" s="13" t="s">
        <v>28</v>
      </c>
      <c r="H63" s="13" t="s">
        <v>28</v>
      </c>
      <c r="I63" s="13" t="s">
        <v>28</v>
      </c>
      <c r="J63" s="10">
        <v>2</v>
      </c>
      <c r="K63" s="21" t="s">
        <v>95</v>
      </c>
      <c r="L63" s="11" t="s">
        <v>290</v>
      </c>
      <c r="M63" s="11" t="s">
        <v>291</v>
      </c>
      <c r="N63" s="11" t="s">
        <v>292</v>
      </c>
      <c r="O63" s="16" t="s">
        <v>468</v>
      </c>
      <c r="P63" s="110"/>
      <c r="Q63" s="110"/>
      <c r="R63" s="11"/>
    </row>
    <row r="64" spans="1:18" ht="15" customHeight="1" x14ac:dyDescent="0.2">
      <c r="A64" s="18" t="e">
        <f t="shared" si="1"/>
        <v>#REF!</v>
      </c>
      <c r="B64" s="11" t="s">
        <v>219</v>
      </c>
      <c r="C64" s="11" t="s">
        <v>88</v>
      </c>
      <c r="D64" s="79" t="s">
        <v>183</v>
      </c>
      <c r="E64" s="13" t="s">
        <v>28</v>
      </c>
      <c r="F64" s="13" t="s">
        <v>28</v>
      </c>
      <c r="G64" s="14" t="s">
        <v>29</v>
      </c>
      <c r="H64" s="13" t="s">
        <v>28</v>
      </c>
      <c r="I64" s="13" t="s">
        <v>28</v>
      </c>
      <c r="J64" s="10">
        <v>1</v>
      </c>
      <c r="K64" s="11" t="s">
        <v>52</v>
      </c>
      <c r="L64" s="64" t="s">
        <v>576</v>
      </c>
      <c r="M64" s="64" t="s">
        <v>577</v>
      </c>
      <c r="N64" s="72" t="s">
        <v>578</v>
      </c>
      <c r="O64" s="16" t="s">
        <v>468</v>
      </c>
      <c r="P64" s="110"/>
      <c r="Q64" s="110"/>
      <c r="R64" s="19"/>
    </row>
    <row r="65" spans="1:18" ht="15" customHeight="1" x14ac:dyDescent="0.2">
      <c r="A65" s="18" t="e">
        <f t="shared" si="1"/>
        <v>#REF!</v>
      </c>
      <c r="B65" s="19" t="s">
        <v>220</v>
      </c>
      <c r="C65" s="19" t="s">
        <v>221</v>
      </c>
      <c r="D65" s="80" t="s">
        <v>222</v>
      </c>
      <c r="E65" s="13" t="s">
        <v>28</v>
      </c>
      <c r="F65" s="13" t="s">
        <v>28</v>
      </c>
      <c r="G65" s="14" t="s">
        <v>29</v>
      </c>
      <c r="H65" s="14" t="s">
        <v>29</v>
      </c>
      <c r="I65" s="14" t="s">
        <v>29</v>
      </c>
      <c r="J65" s="18">
        <v>3</v>
      </c>
      <c r="K65" s="15" t="s">
        <v>30</v>
      </c>
      <c r="L65" s="63" t="s">
        <v>42</v>
      </c>
      <c r="M65" s="63" t="s">
        <v>526</v>
      </c>
      <c r="N65" s="71" t="s">
        <v>527</v>
      </c>
      <c r="O65" s="16" t="s">
        <v>466</v>
      </c>
      <c r="P65" s="110"/>
      <c r="Q65" s="110"/>
      <c r="R65" s="11"/>
    </row>
    <row r="66" spans="1:18" ht="15" customHeight="1" x14ac:dyDescent="0.2">
      <c r="A66" s="18" t="e">
        <f t="shared" si="1"/>
        <v>#REF!</v>
      </c>
      <c r="B66" s="11" t="s">
        <v>223</v>
      </c>
      <c r="C66" s="11" t="s">
        <v>224</v>
      </c>
      <c r="D66" s="80" t="s">
        <v>222</v>
      </c>
      <c r="E66" s="13" t="s">
        <v>28</v>
      </c>
      <c r="F66" s="13" t="s">
        <v>28</v>
      </c>
      <c r="G66" s="14" t="s">
        <v>29</v>
      </c>
      <c r="H66" s="14" t="s">
        <v>29</v>
      </c>
      <c r="I66" s="14" t="s">
        <v>29</v>
      </c>
      <c r="J66" s="10">
        <v>3</v>
      </c>
      <c r="K66" s="15" t="s">
        <v>30</v>
      </c>
      <c r="L66" s="11" t="s">
        <v>225</v>
      </c>
      <c r="M66" s="11" t="s">
        <v>226</v>
      </c>
      <c r="N66" s="11" t="s">
        <v>227</v>
      </c>
      <c r="O66" s="16" t="s">
        <v>466</v>
      </c>
      <c r="P66" s="110"/>
      <c r="Q66" s="110"/>
      <c r="R66" s="19"/>
    </row>
    <row r="67" spans="1:18" ht="15" customHeight="1" x14ac:dyDescent="0.2">
      <c r="A67" s="18" t="e">
        <f t="shared" si="1"/>
        <v>#REF!</v>
      </c>
      <c r="B67" s="19" t="s">
        <v>228</v>
      </c>
      <c r="C67" s="19" t="s">
        <v>229</v>
      </c>
      <c r="D67" s="80" t="s">
        <v>222</v>
      </c>
      <c r="E67" s="13" t="s">
        <v>28</v>
      </c>
      <c r="F67" s="13" t="s">
        <v>28</v>
      </c>
      <c r="G67" s="14" t="s">
        <v>29</v>
      </c>
      <c r="H67" s="14" t="s">
        <v>29</v>
      </c>
      <c r="I67" s="14" t="s">
        <v>29</v>
      </c>
      <c r="J67" s="18">
        <v>3</v>
      </c>
      <c r="K67" s="15" t="s">
        <v>30</v>
      </c>
      <c r="L67" s="19" t="s">
        <v>230</v>
      </c>
      <c r="M67" s="19" t="s">
        <v>231</v>
      </c>
      <c r="N67" s="19" t="s">
        <v>232</v>
      </c>
      <c r="O67" s="16" t="s">
        <v>466</v>
      </c>
      <c r="P67" s="110"/>
      <c r="Q67" s="110"/>
      <c r="R67" s="11"/>
    </row>
    <row r="68" spans="1:18" ht="15" customHeight="1" x14ac:dyDescent="0.2">
      <c r="A68" s="18" t="e">
        <f t="shared" si="1"/>
        <v>#REF!</v>
      </c>
      <c r="B68" s="11" t="s">
        <v>61</v>
      </c>
      <c r="C68" s="11" t="s">
        <v>62</v>
      </c>
      <c r="D68" s="80" t="s">
        <v>222</v>
      </c>
      <c r="E68" s="14" t="s">
        <v>29</v>
      </c>
      <c r="F68" s="14" t="s">
        <v>29</v>
      </c>
      <c r="G68" s="14" t="s">
        <v>29</v>
      </c>
      <c r="H68" s="14" t="s">
        <v>29</v>
      </c>
      <c r="I68" s="14" t="s">
        <v>29</v>
      </c>
      <c r="J68" s="10">
        <v>5</v>
      </c>
      <c r="K68" s="15" t="s">
        <v>30</v>
      </c>
      <c r="L68" s="11" t="s">
        <v>63</v>
      </c>
      <c r="M68" s="64" t="s">
        <v>537</v>
      </c>
      <c r="N68" s="11" t="s">
        <v>64</v>
      </c>
      <c r="O68" s="16" t="s">
        <v>466</v>
      </c>
      <c r="P68" s="110"/>
      <c r="Q68" s="110"/>
      <c r="R68" s="19"/>
    </row>
    <row r="69" spans="1:18" x14ac:dyDescent="0.2">
      <c r="A69" s="18" t="e">
        <f t="shared" si="1"/>
        <v>#REF!</v>
      </c>
      <c r="B69" s="11" t="s">
        <v>546</v>
      </c>
      <c r="C69" s="11" t="s">
        <v>549</v>
      </c>
      <c r="D69" s="80" t="s">
        <v>222</v>
      </c>
      <c r="E69" s="13" t="s">
        <v>28</v>
      </c>
      <c r="F69" s="13" t="s">
        <v>28</v>
      </c>
      <c r="G69" s="13" t="s">
        <v>28</v>
      </c>
      <c r="H69" s="13" t="s">
        <v>28</v>
      </c>
      <c r="I69" s="13" t="s">
        <v>28</v>
      </c>
      <c r="J69" s="18">
        <v>0</v>
      </c>
      <c r="K69" s="11" t="s">
        <v>52</v>
      </c>
      <c r="L69" s="64" t="s">
        <v>575</v>
      </c>
      <c r="M69" s="11" t="s">
        <v>547</v>
      </c>
      <c r="N69" s="11" t="s">
        <v>548</v>
      </c>
      <c r="O69" s="16" t="s">
        <v>466</v>
      </c>
      <c r="P69" s="110"/>
      <c r="Q69" s="110"/>
      <c r="R69" s="19"/>
    </row>
    <row r="70" spans="1:18" ht="15" customHeight="1" x14ac:dyDescent="0.2">
      <c r="A70" s="18" t="e">
        <f t="shared" si="1"/>
        <v>#REF!</v>
      </c>
      <c r="B70" s="11" t="s">
        <v>234</v>
      </c>
      <c r="C70" s="11" t="s">
        <v>235</v>
      </c>
      <c r="D70" s="80" t="s">
        <v>222</v>
      </c>
      <c r="E70" s="13" t="s">
        <v>28</v>
      </c>
      <c r="F70" s="13" t="s">
        <v>28</v>
      </c>
      <c r="G70" s="14" t="s">
        <v>29</v>
      </c>
      <c r="H70" s="13" t="s">
        <v>28</v>
      </c>
      <c r="I70" s="14" t="s">
        <v>29</v>
      </c>
      <c r="J70" s="10">
        <v>2</v>
      </c>
      <c r="K70" s="21" t="s">
        <v>95</v>
      </c>
      <c r="L70" s="11" t="s">
        <v>236</v>
      </c>
      <c r="M70" s="11" t="s">
        <v>237</v>
      </c>
      <c r="N70" s="11" t="s">
        <v>238</v>
      </c>
      <c r="O70" s="16" t="s">
        <v>466</v>
      </c>
      <c r="P70" s="110"/>
      <c r="Q70" s="110"/>
      <c r="R70" s="11"/>
    </row>
    <row r="71" spans="1:18" ht="15" customHeight="1" x14ac:dyDescent="0.2">
      <c r="A71" s="18" t="e">
        <f t="shared" si="1"/>
        <v>#REF!</v>
      </c>
      <c r="B71" s="19" t="s">
        <v>248</v>
      </c>
      <c r="C71" s="19" t="s">
        <v>249</v>
      </c>
      <c r="D71" s="80" t="s">
        <v>222</v>
      </c>
      <c r="E71" s="13" t="s">
        <v>28</v>
      </c>
      <c r="F71" s="13" t="s">
        <v>28</v>
      </c>
      <c r="G71" s="13" t="s">
        <v>28</v>
      </c>
      <c r="H71" s="13" t="s">
        <v>28</v>
      </c>
      <c r="I71" s="14" t="s">
        <v>29</v>
      </c>
      <c r="J71" s="18">
        <v>1</v>
      </c>
      <c r="K71" s="11" t="s">
        <v>52</v>
      </c>
      <c r="L71" s="19" t="s">
        <v>250</v>
      </c>
      <c r="M71" s="19" t="s">
        <v>251</v>
      </c>
      <c r="N71" s="19" t="s">
        <v>252</v>
      </c>
      <c r="O71" s="16" t="s">
        <v>466</v>
      </c>
      <c r="P71" s="110"/>
      <c r="Q71" s="110"/>
      <c r="R71" s="19"/>
    </row>
    <row r="72" spans="1:18" ht="15" customHeight="1" x14ac:dyDescent="0.2">
      <c r="A72" s="18" t="e">
        <f t="shared" si="1"/>
        <v>#REF!</v>
      </c>
      <c r="B72" s="11" t="s">
        <v>553</v>
      </c>
      <c r="C72" s="64" t="s">
        <v>198</v>
      </c>
      <c r="D72" s="80" t="s">
        <v>222</v>
      </c>
      <c r="E72" s="13" t="s">
        <v>28</v>
      </c>
      <c r="F72" s="13" t="s">
        <v>28</v>
      </c>
      <c r="G72" s="13" t="s">
        <v>28</v>
      </c>
      <c r="H72" s="13" t="s">
        <v>28</v>
      </c>
      <c r="I72" s="14" t="s">
        <v>28</v>
      </c>
      <c r="J72" s="10">
        <v>0</v>
      </c>
      <c r="K72" s="11" t="s">
        <v>52</v>
      </c>
      <c r="L72" s="64" t="s">
        <v>618</v>
      </c>
      <c r="M72" s="11" t="s">
        <v>554</v>
      </c>
      <c r="N72" s="11" t="s">
        <v>555</v>
      </c>
      <c r="O72" s="16" t="s">
        <v>466</v>
      </c>
      <c r="P72" s="110"/>
      <c r="Q72" s="110"/>
      <c r="R72" s="11"/>
    </row>
    <row r="73" spans="1:18" ht="15" customHeight="1" x14ac:dyDescent="0.2">
      <c r="A73" s="18" t="e">
        <f t="shared" si="1"/>
        <v>#REF!</v>
      </c>
      <c r="B73" s="11" t="str">
        <f>[1]Feuil1!B19</f>
        <v>Team riders presqu'île motors</v>
      </c>
      <c r="C73" s="64" t="s">
        <v>496</v>
      </c>
      <c r="D73" s="80" t="s">
        <v>222</v>
      </c>
      <c r="E73" s="13" t="s">
        <v>28</v>
      </c>
      <c r="F73" s="13" t="s">
        <v>28</v>
      </c>
      <c r="G73" s="13" t="s">
        <v>28</v>
      </c>
      <c r="H73" s="13" t="s">
        <v>28</v>
      </c>
      <c r="I73" s="13" t="s">
        <v>28</v>
      </c>
      <c r="J73" s="18">
        <v>0</v>
      </c>
      <c r="K73" s="11" t="s">
        <v>52</v>
      </c>
      <c r="L73" s="64" t="s">
        <v>619</v>
      </c>
      <c r="M73" s="11" t="str">
        <f>[1]Feuil1!E19</f>
        <v>89 28 57 04</v>
      </c>
      <c r="N73" s="11" t="str">
        <f>[1]Feuil1!F19</f>
        <v>leewingben@gmail.com</v>
      </c>
      <c r="O73" s="16" t="s">
        <v>466</v>
      </c>
      <c r="P73" s="110"/>
      <c r="Q73" s="110"/>
      <c r="R73" s="11"/>
    </row>
    <row r="74" spans="1:18" ht="15" customHeight="1" x14ac:dyDescent="0.2">
      <c r="A74" s="18" t="e">
        <f t="shared" si="1"/>
        <v>#REF!</v>
      </c>
      <c r="B74" s="63" t="s">
        <v>514</v>
      </c>
      <c r="C74" s="63" t="s">
        <v>81</v>
      </c>
      <c r="D74" s="74" t="s">
        <v>222</v>
      </c>
      <c r="E74" s="13"/>
      <c r="F74" s="13"/>
      <c r="G74" s="13"/>
      <c r="H74" s="13"/>
      <c r="I74" s="13"/>
      <c r="J74" s="18">
        <v>0</v>
      </c>
      <c r="K74" s="11" t="s">
        <v>52</v>
      </c>
      <c r="L74" s="19"/>
      <c r="M74" s="63" t="s">
        <v>515</v>
      </c>
      <c r="N74" s="71" t="s">
        <v>375</v>
      </c>
      <c r="O74" s="16" t="s">
        <v>466</v>
      </c>
      <c r="P74" s="110"/>
      <c r="Q74" s="110"/>
      <c r="R74" s="19"/>
    </row>
    <row r="75" spans="1:18" x14ac:dyDescent="0.2">
      <c r="A75" s="18" t="e">
        <f t="shared" si="1"/>
        <v>#REF!</v>
      </c>
      <c r="B75" s="11" t="s">
        <v>263</v>
      </c>
      <c r="C75" s="11" t="s">
        <v>264</v>
      </c>
      <c r="D75" s="80" t="s">
        <v>222</v>
      </c>
      <c r="E75" s="14" t="s">
        <v>29</v>
      </c>
      <c r="F75" s="14" t="s">
        <v>29</v>
      </c>
      <c r="G75" s="13" t="s">
        <v>28</v>
      </c>
      <c r="H75" s="13" t="s">
        <v>28</v>
      </c>
      <c r="I75" s="13" t="s">
        <v>28</v>
      </c>
      <c r="J75" s="10">
        <v>2</v>
      </c>
      <c r="K75" s="21" t="s">
        <v>95</v>
      </c>
      <c r="L75" s="11" t="s">
        <v>265</v>
      </c>
      <c r="M75" s="11" t="s">
        <v>266</v>
      </c>
      <c r="N75" s="11" t="s">
        <v>267</v>
      </c>
      <c r="O75" s="16" t="s">
        <v>466</v>
      </c>
      <c r="P75" s="110"/>
      <c r="Q75" s="110"/>
      <c r="R75" s="19"/>
    </row>
    <row r="76" spans="1:18" x14ac:dyDescent="0.2">
      <c r="A76" s="18" t="e">
        <f t="shared" si="1"/>
        <v>#REF!</v>
      </c>
      <c r="B76" s="19" t="s">
        <v>268</v>
      </c>
      <c r="C76" s="19" t="s">
        <v>81</v>
      </c>
      <c r="D76" s="80" t="s">
        <v>222</v>
      </c>
      <c r="E76" s="13" t="s">
        <v>28</v>
      </c>
      <c r="F76" s="14" t="s">
        <v>29</v>
      </c>
      <c r="G76" s="13" t="s">
        <v>28</v>
      </c>
      <c r="H76" s="13" t="s">
        <v>28</v>
      </c>
      <c r="I76" s="13" t="s">
        <v>28</v>
      </c>
      <c r="J76" s="18">
        <v>1</v>
      </c>
      <c r="K76" s="11" t="s">
        <v>52</v>
      </c>
      <c r="L76" s="19" t="s">
        <v>269</v>
      </c>
      <c r="M76" s="19" t="s">
        <v>270</v>
      </c>
      <c r="N76" s="19" t="s">
        <v>271</v>
      </c>
      <c r="O76" s="16" t="s">
        <v>468</v>
      </c>
      <c r="P76" s="110"/>
      <c r="Q76" s="110"/>
      <c r="R76" s="19"/>
    </row>
    <row r="77" spans="1:18" x14ac:dyDescent="0.2">
      <c r="A77" s="18" t="e">
        <f t="shared" si="1"/>
        <v>#REF!</v>
      </c>
      <c r="B77" s="11" t="s">
        <v>272</v>
      </c>
      <c r="C77" s="11" t="s">
        <v>57</v>
      </c>
      <c r="D77" s="80" t="s">
        <v>222</v>
      </c>
      <c r="E77" s="13" t="s">
        <v>28</v>
      </c>
      <c r="F77" s="14" t="s">
        <v>29</v>
      </c>
      <c r="G77" s="13" t="s">
        <v>28</v>
      </c>
      <c r="H77" s="13" t="s">
        <v>28</v>
      </c>
      <c r="I77" s="13" t="s">
        <v>28</v>
      </c>
      <c r="J77" s="10">
        <v>1</v>
      </c>
      <c r="K77" s="11" t="s">
        <v>52</v>
      </c>
      <c r="L77" s="11" t="s">
        <v>273</v>
      </c>
      <c r="M77" s="11" t="s">
        <v>274</v>
      </c>
      <c r="N77" s="11" t="s">
        <v>275</v>
      </c>
      <c r="O77" s="16" t="s">
        <v>466</v>
      </c>
      <c r="P77" s="110"/>
      <c r="Q77" s="110"/>
      <c r="R77" s="11"/>
    </row>
    <row r="78" spans="1:18" x14ac:dyDescent="0.2">
      <c r="A78" s="18" t="e">
        <f t="shared" si="1"/>
        <v>#REF!</v>
      </c>
      <c r="B78" s="19" t="s">
        <v>276</v>
      </c>
      <c r="C78" s="19" t="s">
        <v>277</v>
      </c>
      <c r="D78" s="80" t="s">
        <v>222</v>
      </c>
      <c r="E78" s="13" t="s">
        <v>28</v>
      </c>
      <c r="F78" s="14" t="s">
        <v>29</v>
      </c>
      <c r="G78" s="13" t="s">
        <v>28</v>
      </c>
      <c r="H78" s="13" t="s">
        <v>28</v>
      </c>
      <c r="I78" s="13" t="s">
        <v>28</v>
      </c>
      <c r="J78" s="18">
        <v>1</v>
      </c>
      <c r="K78" s="11" t="s">
        <v>52</v>
      </c>
      <c r="L78" s="19" t="s">
        <v>278</v>
      </c>
      <c r="M78" s="19" t="s">
        <v>279</v>
      </c>
      <c r="N78" s="19" t="s">
        <v>280</v>
      </c>
      <c r="O78" s="16" t="s">
        <v>468</v>
      </c>
      <c r="P78" s="110"/>
      <c r="Q78" s="110"/>
      <c r="R78" s="19"/>
    </row>
    <row r="79" spans="1:18" x14ac:dyDescent="0.2">
      <c r="A79" s="18" t="e">
        <f t="shared" si="1"/>
        <v>#REF!</v>
      </c>
      <c r="B79" s="11" t="s">
        <v>281</v>
      </c>
      <c r="C79" s="11" t="s">
        <v>145</v>
      </c>
      <c r="D79" s="80" t="s">
        <v>222</v>
      </c>
      <c r="E79" s="13" t="s">
        <v>28</v>
      </c>
      <c r="F79" s="13" t="s">
        <v>28</v>
      </c>
      <c r="G79" s="14" t="s">
        <v>29</v>
      </c>
      <c r="H79" s="13" t="s">
        <v>28</v>
      </c>
      <c r="I79" s="13" t="s">
        <v>28</v>
      </c>
      <c r="J79" s="10">
        <v>1</v>
      </c>
      <c r="K79" s="11" t="s">
        <v>52</v>
      </c>
      <c r="L79" s="64" t="s">
        <v>574</v>
      </c>
      <c r="M79" s="64" t="s">
        <v>572</v>
      </c>
      <c r="N79" s="72" t="s">
        <v>573</v>
      </c>
      <c r="O79" s="16" t="s">
        <v>466</v>
      </c>
      <c r="P79" s="110"/>
      <c r="Q79" s="110"/>
      <c r="R79" s="11"/>
    </row>
    <row r="80" spans="1:18" x14ac:dyDescent="0.2">
      <c r="A80" s="18"/>
      <c r="B80" s="97"/>
      <c r="C80" s="97"/>
      <c r="D80" s="95"/>
      <c r="E80" s="98"/>
      <c r="F80" s="99"/>
      <c r="G80" s="98"/>
      <c r="H80" s="98"/>
      <c r="I80" s="98"/>
      <c r="J80" s="100"/>
      <c r="K80" s="101"/>
      <c r="L80" s="97"/>
      <c r="M80" s="97"/>
      <c r="N80" s="97"/>
      <c r="O80" s="102"/>
      <c r="P80" s="109"/>
      <c r="Q80" s="109"/>
      <c r="R80" s="19"/>
    </row>
    <row r="81" spans="1:19" x14ac:dyDescent="0.2">
      <c r="A81" s="18"/>
      <c r="B81" s="101"/>
      <c r="C81" s="101"/>
      <c r="D81" s="95"/>
      <c r="E81" s="99"/>
      <c r="F81" s="99"/>
      <c r="G81" s="98"/>
      <c r="H81" s="98"/>
      <c r="I81" s="98"/>
      <c r="J81" s="103"/>
      <c r="K81" s="101"/>
      <c r="L81" s="101"/>
      <c r="M81" s="101"/>
      <c r="N81" s="101"/>
      <c r="O81" s="102"/>
      <c r="P81" s="82"/>
      <c r="Q81" s="82"/>
      <c r="R81" s="81"/>
    </row>
    <row r="82" spans="1:19" x14ac:dyDescent="0.2">
      <c r="A82" s="62"/>
      <c r="B82" s="97"/>
      <c r="C82" s="97"/>
      <c r="D82" s="95"/>
      <c r="E82" s="99"/>
      <c r="F82" s="98"/>
      <c r="G82" s="98"/>
      <c r="H82" s="98"/>
      <c r="I82" s="98"/>
      <c r="J82" s="100"/>
      <c r="K82" s="101"/>
      <c r="L82" s="97"/>
      <c r="M82" s="97"/>
      <c r="N82" s="97"/>
      <c r="O82" s="102"/>
      <c r="P82" s="83"/>
      <c r="Q82" s="83"/>
      <c r="R82" s="84"/>
      <c r="S82" s="82"/>
    </row>
    <row r="83" spans="1:19" x14ac:dyDescent="0.2">
      <c r="A83" s="62"/>
      <c r="B83" s="101"/>
      <c r="C83" s="101"/>
      <c r="D83" s="95"/>
      <c r="E83" s="99"/>
      <c r="F83" s="98"/>
      <c r="G83" s="98"/>
      <c r="H83" s="98"/>
      <c r="I83" s="98"/>
      <c r="J83" s="103"/>
      <c r="K83" s="101"/>
      <c r="L83" s="101"/>
      <c r="M83" s="101"/>
      <c r="N83" s="101"/>
      <c r="O83" s="102"/>
      <c r="P83" s="83"/>
      <c r="Q83" s="83"/>
      <c r="R83" s="85"/>
      <c r="S83" s="82"/>
    </row>
    <row r="84" spans="1:19" x14ac:dyDescent="0.2">
      <c r="A84" s="62"/>
      <c r="B84" s="104"/>
      <c r="C84" s="104"/>
      <c r="D84" s="96"/>
      <c r="E84" s="105"/>
      <c r="F84" s="105"/>
      <c r="G84" s="105"/>
      <c r="H84" s="105"/>
      <c r="I84" s="105"/>
      <c r="J84" s="106"/>
      <c r="K84" s="107"/>
      <c r="L84" s="104"/>
      <c r="M84" s="104"/>
      <c r="N84" s="104"/>
      <c r="O84" s="108"/>
      <c r="P84" s="83"/>
      <c r="Q84" s="83"/>
      <c r="R84" s="86"/>
      <c r="S84" s="82"/>
    </row>
    <row r="85" spans="1:19" x14ac:dyDescent="0.2">
      <c r="A85" s="62"/>
      <c r="P85" s="83"/>
      <c r="Q85" s="83"/>
      <c r="R85" s="87"/>
      <c r="S85" s="82"/>
    </row>
    <row r="86" spans="1:19" x14ac:dyDescent="0.2">
      <c r="A86" s="6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3"/>
      <c r="Q86" s="83"/>
      <c r="R86" s="84"/>
      <c r="S86" s="82"/>
    </row>
    <row r="87" spans="1:19" x14ac:dyDescent="0.2">
      <c r="A87" s="6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3"/>
      <c r="Q87" s="83"/>
      <c r="R87" s="84"/>
      <c r="S87" s="82"/>
    </row>
    <row r="88" spans="1:19" x14ac:dyDescent="0.2">
      <c r="A88" s="6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3"/>
      <c r="Q88" s="83"/>
      <c r="R88" s="85"/>
      <c r="S88" s="82"/>
    </row>
    <row r="89" spans="1:19" x14ac:dyDescent="0.2">
      <c r="A89" s="6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3"/>
      <c r="Q89" s="83"/>
      <c r="R89" s="84"/>
      <c r="S89" s="82"/>
    </row>
    <row r="90" spans="1:19" x14ac:dyDescent="0.2">
      <c r="A90" s="6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3"/>
      <c r="Q90" s="83"/>
      <c r="R90" s="85"/>
      <c r="S90" s="82"/>
    </row>
    <row r="91" spans="1:19" x14ac:dyDescent="0.2">
      <c r="A91" s="6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3"/>
      <c r="Q91" s="83"/>
      <c r="R91" s="84"/>
      <c r="S91" s="82"/>
    </row>
    <row r="92" spans="1:19" x14ac:dyDescent="0.2">
      <c r="A92" s="62"/>
      <c r="B92" s="84"/>
      <c r="C92" s="84"/>
      <c r="D92" s="88"/>
      <c r="E92" s="89"/>
      <c r="F92" s="89"/>
      <c r="G92" s="89"/>
      <c r="H92" s="89"/>
      <c r="I92" s="89"/>
      <c r="J92" s="90"/>
      <c r="K92" s="85"/>
      <c r="L92" s="84"/>
      <c r="M92" s="84"/>
      <c r="N92" s="84"/>
      <c r="O92" s="91"/>
      <c r="P92" s="83"/>
      <c r="Q92" s="83"/>
      <c r="R92" s="85"/>
      <c r="S92" s="82"/>
    </row>
    <row r="93" spans="1:19" x14ac:dyDescent="0.2">
      <c r="A93" s="62"/>
      <c r="B93" s="84"/>
      <c r="C93" s="84"/>
      <c r="D93" s="92"/>
      <c r="E93" s="89"/>
      <c r="F93" s="89"/>
      <c r="G93" s="89"/>
      <c r="H93" s="89"/>
      <c r="I93" s="89"/>
      <c r="J93" s="90"/>
      <c r="K93" s="85"/>
      <c r="L93" s="84"/>
      <c r="M93" s="86"/>
      <c r="N93" s="84"/>
      <c r="O93" s="91"/>
      <c r="P93" s="83"/>
      <c r="Q93" s="83"/>
      <c r="R93" s="84"/>
      <c r="S93" s="82"/>
    </row>
    <row r="94" spans="1:19" x14ac:dyDescent="0.2">
      <c r="A94" s="62"/>
      <c r="B94" s="85"/>
      <c r="C94" s="85"/>
      <c r="D94" s="92"/>
      <c r="E94" s="89"/>
      <c r="F94" s="89"/>
      <c r="G94" s="89"/>
      <c r="H94" s="89"/>
      <c r="I94" s="89"/>
      <c r="J94" s="90"/>
      <c r="K94" s="85"/>
      <c r="L94" s="85"/>
      <c r="M94" s="85"/>
      <c r="N94" s="85"/>
      <c r="O94" s="91"/>
      <c r="P94" s="83"/>
      <c r="Q94" s="83"/>
      <c r="R94" s="84"/>
      <c r="S94" s="82"/>
    </row>
    <row r="95" spans="1:19" x14ac:dyDescent="0.2">
      <c r="A95" s="62"/>
      <c r="B95" s="84"/>
      <c r="C95" s="84"/>
      <c r="D95" s="92"/>
      <c r="E95" s="89"/>
      <c r="F95" s="89"/>
      <c r="G95" s="89"/>
      <c r="H95" s="89"/>
      <c r="I95" s="89"/>
      <c r="J95" s="90"/>
      <c r="K95" s="85"/>
      <c r="L95" s="84"/>
      <c r="M95" s="84"/>
      <c r="N95" s="84"/>
      <c r="O95" s="91"/>
      <c r="P95" s="83"/>
      <c r="Q95" s="83"/>
      <c r="R95" s="85"/>
      <c r="S95" s="82"/>
    </row>
    <row r="96" spans="1:19" x14ac:dyDescent="0.2">
      <c r="A96" s="62"/>
      <c r="B96" s="85"/>
      <c r="C96" s="85"/>
      <c r="D96" s="92"/>
      <c r="E96" s="89"/>
      <c r="F96" s="89"/>
      <c r="G96" s="89"/>
      <c r="H96" s="89"/>
      <c r="I96" s="89"/>
      <c r="J96" s="90"/>
      <c r="K96" s="85"/>
      <c r="L96" s="85"/>
      <c r="M96" s="85"/>
      <c r="N96" s="85"/>
      <c r="O96" s="91"/>
      <c r="P96" s="83"/>
      <c r="Q96" s="83"/>
      <c r="R96" s="84"/>
      <c r="S96" s="82"/>
    </row>
    <row r="97" spans="1:19" x14ac:dyDescent="0.2">
      <c r="A97" s="62"/>
      <c r="B97" s="84"/>
      <c r="C97" s="84"/>
      <c r="D97" s="92"/>
      <c r="E97" s="89"/>
      <c r="F97" s="89"/>
      <c r="G97" s="89"/>
      <c r="H97" s="89"/>
      <c r="I97" s="89"/>
      <c r="J97" s="90"/>
      <c r="K97" s="85"/>
      <c r="L97" s="84"/>
      <c r="M97" s="84"/>
      <c r="N97" s="84"/>
      <c r="O97" s="91"/>
      <c r="P97" s="83"/>
      <c r="Q97" s="83"/>
      <c r="R97" s="85"/>
      <c r="S97" s="82"/>
    </row>
    <row r="98" spans="1:19" x14ac:dyDescent="0.2">
      <c r="A98" s="62"/>
      <c r="B98" s="85"/>
      <c r="C98" s="85"/>
      <c r="D98" s="92"/>
      <c r="E98" s="89"/>
      <c r="F98" s="89"/>
      <c r="G98" s="89"/>
      <c r="H98" s="89"/>
      <c r="I98" s="89"/>
      <c r="J98" s="90"/>
      <c r="K98" s="85"/>
      <c r="L98" s="85"/>
      <c r="M98" s="85"/>
      <c r="N98" s="85"/>
      <c r="O98" s="91"/>
      <c r="P98" s="83"/>
      <c r="Q98" s="83"/>
      <c r="R98" s="84"/>
      <c r="S98" s="82"/>
    </row>
    <row r="99" spans="1:19" x14ac:dyDescent="0.2">
      <c r="B99" s="84"/>
      <c r="C99" s="84"/>
      <c r="D99" s="92"/>
      <c r="E99" s="89"/>
      <c r="F99" s="89"/>
      <c r="G99" s="89"/>
      <c r="H99" s="89"/>
      <c r="I99" s="89"/>
      <c r="J99" s="90"/>
      <c r="K99" s="85"/>
      <c r="L99" s="84"/>
      <c r="M99" s="84"/>
      <c r="N99" s="84"/>
      <c r="O99" s="91"/>
      <c r="P99" s="83"/>
      <c r="Q99" s="83"/>
      <c r="R99" s="85"/>
      <c r="S99" s="82"/>
    </row>
    <row r="100" spans="1:19" x14ac:dyDescent="0.2">
      <c r="B100" s="85"/>
      <c r="C100" s="85"/>
      <c r="D100" s="92"/>
      <c r="E100" s="89"/>
      <c r="F100" s="89"/>
      <c r="G100" s="89"/>
      <c r="H100" s="89"/>
      <c r="I100" s="89"/>
      <c r="J100" s="90"/>
      <c r="K100" s="85"/>
      <c r="L100" s="85"/>
      <c r="M100" s="85"/>
      <c r="N100" s="85"/>
      <c r="O100" s="91"/>
      <c r="P100" s="82"/>
      <c r="Q100" s="82"/>
      <c r="R100" s="82"/>
      <c r="S100" s="82"/>
    </row>
    <row r="101" spans="1:19" x14ac:dyDescent="0.2">
      <c r="B101" s="84"/>
      <c r="C101" s="84"/>
      <c r="D101" s="92"/>
      <c r="E101" s="89"/>
      <c r="F101" s="89"/>
      <c r="G101" s="89"/>
      <c r="H101" s="89"/>
      <c r="I101" s="89"/>
      <c r="J101" s="90"/>
      <c r="K101" s="85"/>
      <c r="L101" s="84"/>
      <c r="M101" s="84"/>
      <c r="N101" s="84"/>
      <c r="O101" s="91"/>
      <c r="P101" s="82"/>
      <c r="Q101" s="82"/>
      <c r="R101" s="82"/>
      <c r="S101" s="82"/>
    </row>
    <row r="102" spans="1:19" x14ac:dyDescent="0.2">
      <c r="A102" s="62"/>
      <c r="B102" s="85"/>
      <c r="C102" s="85"/>
      <c r="D102" s="92"/>
      <c r="E102" s="89"/>
      <c r="F102" s="89"/>
      <c r="G102" s="89"/>
      <c r="H102" s="89"/>
      <c r="I102" s="89"/>
      <c r="J102" s="90"/>
      <c r="K102" s="85"/>
      <c r="L102" s="85"/>
      <c r="M102" s="85"/>
      <c r="N102" s="85"/>
      <c r="O102" s="91"/>
      <c r="P102" s="83"/>
      <c r="Q102" s="83"/>
      <c r="R102" s="84"/>
      <c r="S102" s="82"/>
    </row>
    <row r="103" spans="1:19" x14ac:dyDescent="0.2">
      <c r="A103" s="62"/>
      <c r="B103" s="84"/>
      <c r="C103" s="84"/>
      <c r="D103" s="92"/>
      <c r="E103" s="89"/>
      <c r="F103" s="89"/>
      <c r="G103" s="89"/>
      <c r="H103" s="89"/>
      <c r="I103" s="89"/>
      <c r="J103" s="90"/>
      <c r="K103" s="85"/>
      <c r="L103" s="84"/>
      <c r="M103" s="84"/>
      <c r="N103" s="84"/>
      <c r="O103" s="91"/>
      <c r="P103" s="83"/>
      <c r="Q103" s="83"/>
      <c r="R103" s="84"/>
      <c r="S103" s="82"/>
    </row>
    <row r="104" spans="1:19" x14ac:dyDescent="0.2">
      <c r="B104" s="84"/>
      <c r="C104" s="86"/>
      <c r="D104" s="92"/>
      <c r="E104" s="89"/>
      <c r="F104" s="89"/>
      <c r="G104" s="89"/>
      <c r="H104" s="89"/>
      <c r="I104" s="89"/>
      <c r="J104" s="90"/>
      <c r="K104" s="85"/>
      <c r="L104" s="84"/>
      <c r="M104" s="84"/>
      <c r="N104" s="84"/>
      <c r="O104" s="91"/>
      <c r="P104" s="82"/>
      <c r="Q104" s="82"/>
      <c r="R104" s="82"/>
      <c r="S104" s="82"/>
    </row>
    <row r="105" spans="1:19" x14ac:dyDescent="0.2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3"/>
      <c r="Q105" s="83"/>
      <c r="R105" s="82"/>
      <c r="S105" s="82"/>
    </row>
    <row r="106" spans="1:19" x14ac:dyDescent="0.2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</row>
    <row r="107" spans="1:19" x14ac:dyDescent="0.2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</row>
    <row r="108" spans="1:19" x14ac:dyDescent="0.2">
      <c r="B108" s="84"/>
      <c r="C108" s="86"/>
      <c r="D108" s="92"/>
      <c r="E108" s="89"/>
      <c r="F108" s="89"/>
      <c r="G108" s="89"/>
      <c r="H108" s="89"/>
      <c r="I108" s="89"/>
      <c r="J108" s="90"/>
      <c r="K108" s="85"/>
      <c r="L108" s="84"/>
      <c r="M108" s="84"/>
      <c r="N108" s="84"/>
      <c r="O108" s="91"/>
      <c r="P108" s="82"/>
      <c r="Q108" s="82"/>
      <c r="R108" s="82"/>
      <c r="S108" s="82"/>
    </row>
    <row r="109" spans="1:19" x14ac:dyDescent="0.2">
      <c r="B109" s="85"/>
      <c r="C109" s="87"/>
      <c r="D109" s="88"/>
      <c r="E109" s="89"/>
      <c r="F109" s="89"/>
      <c r="G109" s="89"/>
      <c r="H109" s="89"/>
      <c r="I109" s="89"/>
      <c r="J109" s="90"/>
      <c r="K109" s="85"/>
      <c r="L109" s="85"/>
      <c r="M109" s="85"/>
      <c r="N109" s="85"/>
      <c r="O109" s="91"/>
      <c r="P109" s="82"/>
      <c r="Q109" s="82"/>
      <c r="R109" s="82"/>
      <c r="S109" s="82"/>
    </row>
    <row r="110" spans="1:19" x14ac:dyDescent="0.2"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</row>
    <row r="111" spans="1:19" x14ac:dyDescent="0.2">
      <c r="B111" s="86"/>
      <c r="C111" s="86"/>
      <c r="D111" s="88"/>
      <c r="E111" s="89"/>
      <c r="F111" s="89"/>
      <c r="G111" s="89"/>
      <c r="H111" s="89"/>
      <c r="I111" s="89"/>
      <c r="J111" s="90"/>
      <c r="K111" s="85"/>
      <c r="L111" s="84"/>
      <c r="M111" s="86"/>
      <c r="N111" s="93"/>
      <c r="O111" s="91"/>
      <c r="P111" s="82"/>
      <c r="Q111" s="82"/>
      <c r="R111" s="82"/>
      <c r="S111" s="82"/>
    </row>
    <row r="112" spans="1:19" x14ac:dyDescent="0.2">
      <c r="B112" s="87"/>
      <c r="C112" s="87"/>
      <c r="D112" s="92"/>
      <c r="E112" s="89"/>
      <c r="F112" s="89"/>
      <c r="G112" s="89"/>
      <c r="H112" s="89"/>
      <c r="I112" s="89"/>
      <c r="J112" s="90"/>
      <c r="K112" s="85"/>
      <c r="L112" s="85"/>
      <c r="M112" s="87"/>
      <c r="N112" s="94"/>
      <c r="O112" s="91"/>
      <c r="P112" s="82"/>
      <c r="Q112" s="82"/>
      <c r="R112" s="82"/>
      <c r="S112" s="82"/>
    </row>
    <row r="113" spans="2:19" x14ac:dyDescent="0.2"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</row>
    <row r="114" spans="2:19" x14ac:dyDescent="0.2"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</row>
    <row r="115" spans="2:19" x14ac:dyDescent="0.2">
      <c r="B115" s="86"/>
      <c r="C115" s="86"/>
      <c r="D115" s="88"/>
      <c r="E115" s="89"/>
      <c r="F115" s="89"/>
      <c r="G115" s="89"/>
      <c r="H115" s="89"/>
      <c r="I115" s="89"/>
      <c r="J115" s="90"/>
      <c r="K115" s="85"/>
      <c r="L115" s="84"/>
      <c r="M115" s="86"/>
      <c r="N115" s="93"/>
      <c r="O115" s="91"/>
    </row>
    <row r="116" spans="2:19" x14ac:dyDescent="0.2"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</row>
    <row r="117" spans="2:19" x14ac:dyDescent="0.2"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</row>
  </sheetData>
  <mergeCells count="5">
    <mergeCell ref="A1:S1"/>
    <mergeCell ref="A2:D2"/>
    <mergeCell ref="E2:J2"/>
    <mergeCell ref="L2:N2"/>
    <mergeCell ref="P2:Q2"/>
  </mergeCells>
  <dataValidations count="2">
    <dataValidation type="list" allowBlank="1" sqref="O108:O109 O111:O112 O115 O118:O201 O92:O104 O4:O84" xr:uid="{C0B8E2EF-1D69-4DC0-8D14-60A656CEF87A}">
      <formula1>"À contacter,Contacté,Confirmé,Relance,Annulé"</formula1>
      <formula2>0</formula2>
    </dataValidation>
    <dataValidation type="list" allowBlank="1" sqref="P102:Q103 P105:Q106 P109:Q190 P82:Q99 P4:Q80" xr:uid="{2E021657-EBAF-4592-A445-5552D00269A0}">
      <formula1>"✓,Confirmé,Annulé,–"</formula1>
      <formula2>0</formula2>
    </dataValidation>
  </dataValidations>
  <hyperlinks>
    <hyperlink ref="N37" r:id="rId1" xr:uid="{60F43A8E-B410-4F1C-84CA-C5CABD7A547E}"/>
    <hyperlink ref="N51" r:id="rId2" xr:uid="{75CD0F1E-B007-4F13-8F3D-A303AA21955B}"/>
    <hyperlink ref="N74" r:id="rId3" xr:uid="{ACB0A624-44B5-4769-A0C2-09FDC658AC3C}"/>
    <hyperlink ref="N20" r:id="rId4" xr:uid="{34AE4EA4-F24C-4351-B84A-5B813D6AA171}"/>
    <hyperlink ref="N52" r:id="rId5" xr:uid="{FEA10D1D-0BB6-43B9-9562-70C337399EF1}"/>
    <hyperlink ref="N11" r:id="rId6" xr:uid="{9945E057-3230-461E-8FBC-2922E7B48AF8}"/>
    <hyperlink ref="N8" r:id="rId7" xr:uid="{77E08B6E-C1E3-4378-BCFE-15A4884586F6}"/>
    <hyperlink ref="N22" r:id="rId8" xr:uid="{92A81659-6FB7-4D6F-835B-3018A8D46F6D}"/>
    <hyperlink ref="N4" r:id="rId9" xr:uid="{7CA85DC0-3559-4758-BE74-BA4EAE692F13}"/>
    <hyperlink ref="N45" r:id="rId10" xr:uid="{133B2B93-B7D7-4B02-BA43-BE429814946D}"/>
    <hyperlink ref="N43" r:id="rId11" xr:uid="{CA0B4B95-470B-4B91-95E5-679764F014B4}"/>
    <hyperlink ref="N65" r:id="rId12" xr:uid="{BA71DA87-D8AF-478A-823C-1DB0E50D12E6}"/>
    <hyperlink ref="N79" r:id="rId13" xr:uid="{B6B83C58-A6E4-4E68-80F9-76D074DDF9C8}"/>
    <hyperlink ref="N64" r:id="rId14" xr:uid="{EDB536F0-937A-4A6D-A88C-617AD164551A}"/>
    <hyperlink ref="N29" r:id="rId15" xr:uid="{42348824-7527-4844-80EB-A4F06BDD252B}"/>
    <hyperlink ref="N31" r:id="rId16" xr:uid="{14A374D0-5DEE-4E6A-8387-362F5530C586}"/>
    <hyperlink ref="N32" r:id="rId17" xr:uid="{C6EDFD41-6BDE-4B32-9459-B90892738A44}"/>
    <hyperlink ref="N38" r:id="rId18" xr:uid="{E7A5A024-F6C3-48DE-B294-A7523FA9FD4C}"/>
    <hyperlink ref="N49" r:id="rId19" xr:uid="{9D9D0DCF-91BC-4F72-8FEB-66C41C52923A}"/>
    <hyperlink ref="N57" r:id="rId20" xr:uid="{82073B0A-1EEA-4A7A-B4A6-921DCACC05A1}"/>
    <hyperlink ref="N70" r:id="rId21" display="sophieperacaula@gmail.com" xr:uid="{73F57B88-C015-4CD0-94D2-A3C05FAE93BE}"/>
  </hyperlinks>
  <pageMargins left="0.25" right="0.25" top="0.75" bottom="0.75" header="0.3" footer="0.3"/>
  <pageSetup paperSize="9" scale="56" fitToHeight="0" orientation="landscape"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4"/>
  <sheetViews>
    <sheetView zoomScaleNormal="100" workbookViewId="0">
      <pane ySplit="3" topLeftCell="A4" activePane="bottomLeft" state="frozen"/>
      <selection pane="bottomLeft" activeCell="T41" sqref="T41"/>
    </sheetView>
  </sheetViews>
  <sheetFormatPr baseColWidth="10" defaultColWidth="8.6640625" defaultRowHeight="15" x14ac:dyDescent="0.2"/>
  <cols>
    <col min="1" max="1" width="5" customWidth="1"/>
    <col min="2" max="2" width="30" customWidth="1"/>
    <col min="3" max="3" width="22" customWidth="1"/>
    <col min="4" max="4" width="14" customWidth="1"/>
    <col min="5" max="10" width="6" customWidth="1"/>
    <col min="11" max="11" width="12" customWidth="1"/>
    <col min="12" max="12" width="22" customWidth="1"/>
    <col min="13" max="13" width="14" customWidth="1"/>
    <col min="14" max="14" width="28" customWidth="1"/>
    <col min="15" max="15" width="16" customWidth="1"/>
    <col min="16" max="17" width="8" customWidth="1"/>
    <col min="18" max="18" width="28" customWidth="1"/>
  </cols>
  <sheetData>
    <row r="1" spans="1:19" ht="27.75" customHeight="1" x14ac:dyDescent="0.2">
      <c r="A1" s="112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</row>
    <row r="2" spans="1:19" ht="15.75" customHeight="1" x14ac:dyDescent="0.2">
      <c r="A2" s="113" t="s">
        <v>1</v>
      </c>
      <c r="B2" s="113"/>
      <c r="C2" s="113"/>
      <c r="D2" s="113"/>
      <c r="E2" s="114" t="s">
        <v>2</v>
      </c>
      <c r="F2" s="114"/>
      <c r="G2" s="114"/>
      <c r="H2" s="114"/>
      <c r="I2" s="114"/>
      <c r="J2" s="114"/>
      <c r="K2" s="1" t="s">
        <v>3</v>
      </c>
      <c r="L2" s="115" t="s">
        <v>4</v>
      </c>
      <c r="M2" s="115"/>
      <c r="N2" s="115"/>
      <c r="O2" s="2" t="s">
        <v>5</v>
      </c>
      <c r="P2" s="116" t="s">
        <v>6</v>
      </c>
      <c r="Q2" s="116"/>
      <c r="R2" s="117" t="s">
        <v>530</v>
      </c>
      <c r="S2" s="117"/>
    </row>
    <row r="3" spans="1:19" ht="33.75" customHeight="1" x14ac:dyDescent="0.2">
      <c r="A3" s="3" t="s">
        <v>7</v>
      </c>
      <c r="B3" s="4" t="s">
        <v>8</v>
      </c>
      <c r="C3" s="4" t="s">
        <v>9</v>
      </c>
      <c r="D3" s="4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5" t="s">
        <v>16</v>
      </c>
      <c r="K3" s="6" t="s">
        <v>17</v>
      </c>
      <c r="L3" s="7" t="s">
        <v>18</v>
      </c>
      <c r="M3" s="7" t="s">
        <v>19</v>
      </c>
      <c r="N3" s="7" t="s">
        <v>20</v>
      </c>
      <c r="O3" s="8" t="s">
        <v>21</v>
      </c>
      <c r="P3" s="9" t="s">
        <v>22</v>
      </c>
      <c r="Q3" s="9" t="s">
        <v>23</v>
      </c>
      <c r="R3" s="118" t="s">
        <v>24</v>
      </c>
      <c r="S3" s="118"/>
    </row>
    <row r="4" spans="1:19" ht="15" customHeight="1" x14ac:dyDescent="0.2">
      <c r="A4" s="10">
        <v>1</v>
      </c>
      <c r="B4" s="11" t="s">
        <v>25</v>
      </c>
      <c r="C4" s="11" t="s">
        <v>26</v>
      </c>
      <c r="D4" s="12" t="s">
        <v>27</v>
      </c>
      <c r="E4" s="13" t="s">
        <v>28</v>
      </c>
      <c r="F4" s="13" t="s">
        <v>28</v>
      </c>
      <c r="G4" s="14" t="s">
        <v>29</v>
      </c>
      <c r="H4" s="14" t="s">
        <v>29</v>
      </c>
      <c r="I4" s="14" t="s">
        <v>29</v>
      </c>
      <c r="J4" s="10">
        <v>3</v>
      </c>
      <c r="K4" s="15" t="s">
        <v>30</v>
      </c>
      <c r="L4" s="11" t="s">
        <v>524</v>
      </c>
      <c r="M4" s="11" t="s">
        <v>32</v>
      </c>
      <c r="N4" s="11" t="s">
        <v>33</v>
      </c>
      <c r="O4" s="16" t="s">
        <v>466</v>
      </c>
      <c r="P4" s="17"/>
      <c r="Q4" s="17"/>
      <c r="R4" s="11" t="s">
        <v>525</v>
      </c>
    </row>
    <row r="5" spans="1:19" ht="15" customHeight="1" x14ac:dyDescent="0.2">
      <c r="A5" s="18">
        <v>2</v>
      </c>
      <c r="B5" s="19" t="s">
        <v>35</v>
      </c>
      <c r="C5" s="19" t="s">
        <v>36</v>
      </c>
      <c r="D5" s="12" t="s">
        <v>27</v>
      </c>
      <c r="E5" s="13" t="s">
        <v>28</v>
      </c>
      <c r="F5" s="13" t="s">
        <v>28</v>
      </c>
      <c r="G5" s="14" t="s">
        <v>29</v>
      </c>
      <c r="H5" s="14" t="s">
        <v>29</v>
      </c>
      <c r="I5" s="14" t="s">
        <v>29</v>
      </c>
      <c r="J5" s="18">
        <v>3</v>
      </c>
      <c r="K5" s="15" t="s">
        <v>30</v>
      </c>
      <c r="L5" s="19" t="s">
        <v>37</v>
      </c>
      <c r="M5" s="19" t="s">
        <v>38</v>
      </c>
      <c r="N5" s="19" t="s">
        <v>39</v>
      </c>
      <c r="O5" s="16" t="s">
        <v>466</v>
      </c>
      <c r="P5" s="17"/>
      <c r="Q5" s="17"/>
      <c r="R5" s="11" t="s">
        <v>525</v>
      </c>
    </row>
    <row r="6" spans="1:19" ht="15" customHeight="1" x14ac:dyDescent="0.2">
      <c r="A6" s="10">
        <v>3</v>
      </c>
      <c r="B6" s="11" t="s">
        <v>40</v>
      </c>
      <c r="C6" s="11" t="s">
        <v>41</v>
      </c>
      <c r="D6" s="12" t="s">
        <v>27</v>
      </c>
      <c r="E6" s="13" t="s">
        <v>28</v>
      </c>
      <c r="F6" s="14" t="s">
        <v>29</v>
      </c>
      <c r="G6" s="14" t="s">
        <v>29</v>
      </c>
      <c r="H6" s="14" t="s">
        <v>29</v>
      </c>
      <c r="I6" s="14" t="s">
        <v>29</v>
      </c>
      <c r="J6" s="10">
        <v>4</v>
      </c>
      <c r="K6" s="15" t="s">
        <v>30</v>
      </c>
      <c r="L6" s="11" t="s">
        <v>42</v>
      </c>
      <c r="M6" s="11" t="s">
        <v>526</v>
      </c>
      <c r="N6" s="72" t="s">
        <v>527</v>
      </c>
      <c r="O6" s="16" t="s">
        <v>466</v>
      </c>
      <c r="P6" s="17"/>
      <c r="Q6" s="17"/>
      <c r="R6" s="64" t="s">
        <v>528</v>
      </c>
    </row>
    <row r="7" spans="1:19" ht="15" customHeight="1" x14ac:dyDescent="0.2">
      <c r="A7" s="18">
        <v>4</v>
      </c>
      <c r="B7" s="19" t="s">
        <v>45</v>
      </c>
      <c r="C7" s="19" t="s">
        <v>46</v>
      </c>
      <c r="D7" s="12" t="s">
        <v>27</v>
      </c>
      <c r="E7" s="13" t="s">
        <v>28</v>
      </c>
      <c r="F7" s="13" t="s">
        <v>28</v>
      </c>
      <c r="G7" s="14" t="s">
        <v>29</v>
      </c>
      <c r="H7" s="14" t="s">
        <v>29</v>
      </c>
      <c r="I7" s="14" t="s">
        <v>29</v>
      </c>
      <c r="J7" s="18">
        <v>3</v>
      </c>
      <c r="K7" s="15" t="s">
        <v>30</v>
      </c>
      <c r="L7" s="19" t="s">
        <v>47</v>
      </c>
      <c r="M7" s="19" t="s">
        <v>48</v>
      </c>
      <c r="N7" s="19" t="s">
        <v>49</v>
      </c>
      <c r="O7" s="16" t="s">
        <v>466</v>
      </c>
      <c r="P7" s="17"/>
      <c r="Q7" s="17"/>
      <c r="R7" s="11" t="s">
        <v>525</v>
      </c>
    </row>
    <row r="8" spans="1:19" ht="15" customHeight="1" x14ac:dyDescent="0.2">
      <c r="A8" s="10">
        <v>5</v>
      </c>
      <c r="B8" s="11" t="s">
        <v>50</v>
      </c>
      <c r="C8" s="11" t="s">
        <v>51</v>
      </c>
      <c r="D8" s="12" t="s">
        <v>27</v>
      </c>
      <c r="E8" s="13" t="s">
        <v>28</v>
      </c>
      <c r="F8" s="13" t="s">
        <v>28</v>
      </c>
      <c r="G8" s="13" t="s">
        <v>28</v>
      </c>
      <c r="H8" s="13" t="s">
        <v>28</v>
      </c>
      <c r="I8" s="14" t="s">
        <v>29</v>
      </c>
      <c r="J8" s="10">
        <v>1</v>
      </c>
      <c r="K8" s="11" t="s">
        <v>52</v>
      </c>
      <c r="L8" s="11" t="s">
        <v>53</v>
      </c>
      <c r="M8" s="11" t="s">
        <v>54</v>
      </c>
      <c r="N8" s="11" t="s">
        <v>55</v>
      </c>
      <c r="O8" s="16" t="s">
        <v>34</v>
      </c>
      <c r="P8" s="17"/>
      <c r="Q8" s="17"/>
      <c r="R8" s="11"/>
    </row>
    <row r="9" spans="1:19" ht="15" customHeight="1" x14ac:dyDescent="0.2">
      <c r="A9" s="18">
        <v>6</v>
      </c>
      <c r="B9" s="19" t="s">
        <v>56</v>
      </c>
      <c r="C9" s="19" t="s">
        <v>57</v>
      </c>
      <c r="D9" s="12" t="s">
        <v>27</v>
      </c>
      <c r="E9" s="13" t="s">
        <v>28</v>
      </c>
      <c r="F9" s="13" t="s">
        <v>28</v>
      </c>
      <c r="G9" s="13" t="s">
        <v>28</v>
      </c>
      <c r="H9" s="13" t="s">
        <v>28</v>
      </c>
      <c r="I9" s="14" t="s">
        <v>29</v>
      </c>
      <c r="J9" s="18">
        <v>1</v>
      </c>
      <c r="K9" s="11" t="s">
        <v>52</v>
      </c>
      <c r="L9" s="19" t="s">
        <v>58</v>
      </c>
      <c r="M9" s="19" t="s">
        <v>59</v>
      </c>
      <c r="N9" s="19" t="s">
        <v>60</v>
      </c>
      <c r="O9" s="16" t="s">
        <v>466</v>
      </c>
      <c r="P9" s="17"/>
      <c r="Q9" s="17"/>
      <c r="R9" s="11" t="s">
        <v>525</v>
      </c>
    </row>
    <row r="10" spans="1:19" ht="15" customHeight="1" x14ac:dyDescent="0.2">
      <c r="A10" s="10">
        <v>7</v>
      </c>
      <c r="B10" s="11" t="s">
        <v>61</v>
      </c>
      <c r="C10" s="11" t="s">
        <v>62</v>
      </c>
      <c r="D10" s="12" t="s">
        <v>27</v>
      </c>
      <c r="E10" s="13" t="s">
        <v>28</v>
      </c>
      <c r="F10" s="14" t="s">
        <v>29</v>
      </c>
      <c r="G10" s="13" t="s">
        <v>28</v>
      </c>
      <c r="H10" s="14" t="s">
        <v>29</v>
      </c>
      <c r="I10" s="14" t="s">
        <v>29</v>
      </c>
      <c r="J10" s="10">
        <v>3</v>
      </c>
      <c r="K10" s="15" t="s">
        <v>30</v>
      </c>
      <c r="L10" s="11" t="s">
        <v>63</v>
      </c>
      <c r="M10" s="11"/>
      <c r="N10" s="11" t="s">
        <v>64</v>
      </c>
      <c r="O10" s="16" t="s">
        <v>466</v>
      </c>
      <c r="P10" s="17"/>
      <c r="Q10" s="17"/>
      <c r="R10" s="64" t="s">
        <v>529</v>
      </c>
    </row>
    <row r="11" spans="1:19" ht="15" customHeight="1" x14ac:dyDescent="0.2">
      <c r="A11" s="18">
        <v>8</v>
      </c>
      <c r="B11" s="19" t="s">
        <v>65</v>
      </c>
      <c r="C11" s="19" t="s">
        <v>66</v>
      </c>
      <c r="D11" s="12" t="s">
        <v>27</v>
      </c>
      <c r="E11" s="13" t="s">
        <v>28</v>
      </c>
      <c r="F11" s="13" t="s">
        <v>28</v>
      </c>
      <c r="G11" s="13" t="s">
        <v>28</v>
      </c>
      <c r="H11" s="13" t="s">
        <v>28</v>
      </c>
      <c r="I11" s="14" t="s">
        <v>29</v>
      </c>
      <c r="J11" s="18">
        <v>1</v>
      </c>
      <c r="K11" s="11" t="s">
        <v>52</v>
      </c>
      <c r="L11" s="19" t="s">
        <v>67</v>
      </c>
      <c r="M11" s="19" t="s">
        <v>68</v>
      </c>
      <c r="N11" s="19" t="s">
        <v>69</v>
      </c>
      <c r="O11" s="16" t="s">
        <v>34</v>
      </c>
      <c r="P11" s="17"/>
      <c r="Q11" s="17"/>
      <c r="R11" s="19"/>
    </row>
    <row r="12" spans="1:19" ht="15" customHeight="1" x14ac:dyDescent="0.2">
      <c r="A12" s="10">
        <v>9</v>
      </c>
      <c r="B12" s="11" t="s">
        <v>70</v>
      </c>
      <c r="C12" s="11" t="s">
        <v>71</v>
      </c>
      <c r="D12" s="12" t="s">
        <v>27</v>
      </c>
      <c r="E12" s="13" t="s">
        <v>28</v>
      </c>
      <c r="F12" s="13" t="s">
        <v>28</v>
      </c>
      <c r="G12" s="13" t="s">
        <v>28</v>
      </c>
      <c r="H12" s="13" t="s">
        <v>28</v>
      </c>
      <c r="I12" s="14" t="s">
        <v>29</v>
      </c>
      <c r="J12" s="10">
        <v>1</v>
      </c>
      <c r="K12" s="11" t="s">
        <v>52</v>
      </c>
      <c r="L12" s="11" t="s">
        <v>72</v>
      </c>
      <c r="M12" s="11" t="s">
        <v>73</v>
      </c>
      <c r="N12" s="11" t="s">
        <v>74</v>
      </c>
      <c r="O12" s="16" t="s">
        <v>34</v>
      </c>
      <c r="P12" s="17"/>
      <c r="Q12" s="17"/>
      <c r="R12" s="11"/>
    </row>
    <row r="13" spans="1:19" ht="15" customHeight="1" x14ac:dyDescent="0.2">
      <c r="A13" s="18">
        <v>10</v>
      </c>
      <c r="B13" s="19" t="s">
        <v>75</v>
      </c>
      <c r="C13" s="19" t="s">
        <v>76</v>
      </c>
      <c r="D13" s="12" t="s">
        <v>27</v>
      </c>
      <c r="E13" s="13" t="s">
        <v>28</v>
      </c>
      <c r="F13" s="13" t="s">
        <v>28</v>
      </c>
      <c r="G13" s="13" t="s">
        <v>28</v>
      </c>
      <c r="H13" s="13" t="s">
        <v>28</v>
      </c>
      <c r="I13" s="14" t="s">
        <v>29</v>
      </c>
      <c r="J13" s="18">
        <v>1</v>
      </c>
      <c r="K13" s="11" t="s">
        <v>52</v>
      </c>
      <c r="L13" s="19" t="s">
        <v>77</v>
      </c>
      <c r="M13" s="19" t="s">
        <v>78</v>
      </c>
      <c r="N13" s="19" t="s">
        <v>79</v>
      </c>
      <c r="O13" s="16" t="s">
        <v>466</v>
      </c>
      <c r="P13" s="17"/>
      <c r="Q13" s="17"/>
      <c r="R13" s="63" t="s">
        <v>531</v>
      </c>
    </row>
    <row r="14" spans="1:19" ht="15" customHeight="1" x14ac:dyDescent="0.2">
      <c r="A14" s="10">
        <v>11</v>
      </c>
      <c r="B14" s="11" t="s">
        <v>80</v>
      </c>
      <c r="C14" s="11" t="s">
        <v>81</v>
      </c>
      <c r="D14" s="12" t="s">
        <v>27</v>
      </c>
      <c r="E14" s="13" t="s">
        <v>28</v>
      </c>
      <c r="F14" s="13" t="s">
        <v>28</v>
      </c>
      <c r="G14" s="14" t="s">
        <v>29</v>
      </c>
      <c r="H14" s="14" t="s">
        <v>29</v>
      </c>
      <c r="I14" s="14" t="s">
        <v>29</v>
      </c>
      <c r="J14" s="10">
        <v>3</v>
      </c>
      <c r="K14" s="15" t="s">
        <v>30</v>
      </c>
      <c r="L14" s="64" t="s">
        <v>533</v>
      </c>
      <c r="M14" s="64" t="s">
        <v>534</v>
      </c>
      <c r="N14" s="11" t="s">
        <v>83</v>
      </c>
      <c r="O14" s="16" t="s">
        <v>466</v>
      </c>
      <c r="P14" s="17"/>
      <c r="Q14" s="17"/>
      <c r="R14" s="11" t="s">
        <v>525</v>
      </c>
    </row>
    <row r="15" spans="1:19" ht="15" customHeight="1" x14ac:dyDescent="0.2">
      <c r="A15" s="18">
        <v>12</v>
      </c>
      <c r="B15" s="19" t="s">
        <v>84</v>
      </c>
      <c r="C15" s="19" t="s">
        <v>81</v>
      </c>
      <c r="D15" s="12" t="s">
        <v>27</v>
      </c>
      <c r="E15" s="14" t="s">
        <v>29</v>
      </c>
      <c r="F15" s="14" t="s">
        <v>29</v>
      </c>
      <c r="G15" s="13" t="s">
        <v>28</v>
      </c>
      <c r="H15" s="13" t="s">
        <v>28</v>
      </c>
      <c r="I15" s="14" t="s">
        <v>29</v>
      </c>
      <c r="J15" s="18">
        <v>3</v>
      </c>
      <c r="K15" s="15" t="s">
        <v>30</v>
      </c>
      <c r="L15" s="19" t="s">
        <v>85</v>
      </c>
      <c r="M15" s="19" t="s">
        <v>82</v>
      </c>
      <c r="N15" s="19" t="s">
        <v>86</v>
      </c>
      <c r="O15" s="16" t="s">
        <v>466</v>
      </c>
      <c r="P15" s="17"/>
      <c r="Q15" s="17"/>
      <c r="R15" s="63" t="s">
        <v>532</v>
      </c>
    </row>
    <row r="16" spans="1:19" ht="15" customHeight="1" x14ac:dyDescent="0.2">
      <c r="A16" s="10">
        <v>13</v>
      </c>
      <c r="B16" s="11" t="s">
        <v>87</v>
      </c>
      <c r="C16" s="11" t="s">
        <v>88</v>
      </c>
      <c r="D16" s="20" t="s">
        <v>89</v>
      </c>
      <c r="E16" s="14" t="s">
        <v>29</v>
      </c>
      <c r="F16" s="14" t="s">
        <v>29</v>
      </c>
      <c r="G16" s="14" t="s">
        <v>29</v>
      </c>
      <c r="H16" s="14" t="s">
        <v>29</v>
      </c>
      <c r="I16" s="14" t="s">
        <v>29</v>
      </c>
      <c r="J16" s="10">
        <v>5</v>
      </c>
      <c r="K16" s="15" t="s">
        <v>30</v>
      </c>
      <c r="L16" s="11" t="s">
        <v>90</v>
      </c>
      <c r="M16" s="11" t="s">
        <v>91</v>
      </c>
      <c r="N16" s="11" t="s">
        <v>92</v>
      </c>
      <c r="O16" s="16" t="s">
        <v>466</v>
      </c>
      <c r="P16" s="17"/>
      <c r="Q16" s="17"/>
      <c r="R16" s="64" t="s">
        <v>531</v>
      </c>
    </row>
    <row r="17" spans="1:18" ht="15" customHeight="1" x14ac:dyDescent="0.2">
      <c r="A17" s="18">
        <v>14</v>
      </c>
      <c r="B17" s="19" t="s">
        <v>93</v>
      </c>
      <c r="C17" s="19" t="s">
        <v>94</v>
      </c>
      <c r="D17" s="20" t="s">
        <v>89</v>
      </c>
      <c r="E17" s="13" t="s">
        <v>28</v>
      </c>
      <c r="F17" s="13" t="s">
        <v>28</v>
      </c>
      <c r="G17" s="13" t="s">
        <v>28</v>
      </c>
      <c r="H17" s="14" t="s">
        <v>29</v>
      </c>
      <c r="I17" s="14" t="s">
        <v>29</v>
      </c>
      <c r="J17" s="18">
        <v>2</v>
      </c>
      <c r="K17" s="21" t="s">
        <v>95</v>
      </c>
      <c r="L17" s="19" t="s">
        <v>96</v>
      </c>
      <c r="M17" s="19" t="s">
        <v>97</v>
      </c>
      <c r="N17" s="19" t="s">
        <v>98</v>
      </c>
      <c r="O17" s="16" t="s">
        <v>466</v>
      </c>
      <c r="P17" s="17"/>
      <c r="Q17" s="17"/>
      <c r="R17" s="64" t="s">
        <v>531</v>
      </c>
    </row>
    <row r="18" spans="1:18" ht="15" customHeight="1" x14ac:dyDescent="0.2">
      <c r="A18" s="10">
        <v>15</v>
      </c>
      <c r="B18" s="11" t="s">
        <v>99</v>
      </c>
      <c r="C18" s="11" t="s">
        <v>100</v>
      </c>
      <c r="D18" s="20" t="s">
        <v>89</v>
      </c>
      <c r="E18" s="13" t="s">
        <v>28</v>
      </c>
      <c r="F18" s="13" t="s">
        <v>28</v>
      </c>
      <c r="G18" s="13" t="s">
        <v>28</v>
      </c>
      <c r="H18" s="14" t="s">
        <v>29</v>
      </c>
      <c r="I18" s="13" t="s">
        <v>28</v>
      </c>
      <c r="J18" s="10">
        <v>1</v>
      </c>
      <c r="K18" s="11" t="s">
        <v>52</v>
      </c>
      <c r="L18" s="64" t="s">
        <v>535</v>
      </c>
      <c r="M18" s="64" t="s">
        <v>536</v>
      </c>
      <c r="N18" s="11" t="s">
        <v>101</v>
      </c>
      <c r="O18" s="16" t="s">
        <v>34</v>
      </c>
      <c r="P18" s="17"/>
      <c r="Q18" s="17"/>
      <c r="R18" s="11"/>
    </row>
    <row r="19" spans="1:18" ht="15" customHeight="1" x14ac:dyDescent="0.2">
      <c r="A19" s="18">
        <v>16</v>
      </c>
      <c r="B19" s="19" t="s">
        <v>102</v>
      </c>
      <c r="C19" s="19" t="s">
        <v>103</v>
      </c>
      <c r="D19" s="20" t="s">
        <v>89</v>
      </c>
      <c r="E19" s="13" t="s">
        <v>28</v>
      </c>
      <c r="F19" s="13" t="s">
        <v>28</v>
      </c>
      <c r="G19" s="13" t="s">
        <v>28</v>
      </c>
      <c r="H19" s="13" t="s">
        <v>28</v>
      </c>
      <c r="I19" s="14" t="s">
        <v>29</v>
      </c>
      <c r="J19" s="18">
        <v>1</v>
      </c>
      <c r="K19" s="11" t="s">
        <v>52</v>
      </c>
      <c r="L19" s="19" t="s">
        <v>104</v>
      </c>
      <c r="M19" s="19" t="s">
        <v>105</v>
      </c>
      <c r="N19" s="19" t="s">
        <v>106</v>
      </c>
      <c r="O19" s="16" t="s">
        <v>34</v>
      </c>
      <c r="P19" s="17"/>
      <c r="Q19" s="17"/>
      <c r="R19" s="19"/>
    </row>
    <row r="20" spans="1:18" ht="15" customHeight="1" x14ac:dyDescent="0.2">
      <c r="A20" s="10">
        <v>17</v>
      </c>
      <c r="B20" s="64" t="s">
        <v>107</v>
      </c>
      <c r="C20" s="64" t="s">
        <v>81</v>
      </c>
      <c r="D20" s="20" t="s">
        <v>89</v>
      </c>
      <c r="E20" s="13" t="s">
        <v>28</v>
      </c>
      <c r="F20" s="14" t="s">
        <v>29</v>
      </c>
      <c r="G20" s="13" t="s">
        <v>28</v>
      </c>
      <c r="H20" s="13" t="s">
        <v>28</v>
      </c>
      <c r="I20" s="13" t="s">
        <v>28</v>
      </c>
      <c r="J20" s="10">
        <v>1</v>
      </c>
      <c r="K20" s="11" t="s">
        <v>52</v>
      </c>
      <c r="L20" s="11" t="s">
        <v>109</v>
      </c>
      <c r="M20" s="11" t="s">
        <v>110</v>
      </c>
      <c r="N20" s="11" t="s">
        <v>111</v>
      </c>
      <c r="O20" s="16" t="s">
        <v>34</v>
      </c>
      <c r="P20" s="17"/>
      <c r="Q20" s="17"/>
      <c r="R20" s="11"/>
    </row>
    <row r="21" spans="1:18" ht="15" customHeight="1" x14ac:dyDescent="0.2">
      <c r="A21" s="18">
        <v>18</v>
      </c>
      <c r="B21" s="19" t="s">
        <v>112</v>
      </c>
      <c r="C21" s="19" t="s">
        <v>113</v>
      </c>
      <c r="D21" s="20" t="s">
        <v>89</v>
      </c>
      <c r="E21" s="14" t="s">
        <v>29</v>
      </c>
      <c r="F21" s="14" t="s">
        <v>29</v>
      </c>
      <c r="G21" s="13" t="s">
        <v>28</v>
      </c>
      <c r="H21" s="13" t="s">
        <v>28</v>
      </c>
      <c r="I21" s="13" t="s">
        <v>28</v>
      </c>
      <c r="J21" s="18">
        <v>2</v>
      </c>
      <c r="K21" s="21" t="s">
        <v>95</v>
      </c>
      <c r="L21" s="19" t="s">
        <v>114</v>
      </c>
      <c r="M21" s="19" t="s">
        <v>115</v>
      </c>
      <c r="N21" s="19" t="s">
        <v>116</v>
      </c>
      <c r="O21" s="16" t="s">
        <v>34</v>
      </c>
      <c r="P21" s="17"/>
      <c r="Q21" s="17"/>
      <c r="R21" s="19"/>
    </row>
    <row r="22" spans="1:18" ht="15" customHeight="1" x14ac:dyDescent="0.2">
      <c r="A22" s="10">
        <v>19</v>
      </c>
      <c r="B22" s="11" t="s">
        <v>117</v>
      </c>
      <c r="C22" s="11" t="s">
        <v>57</v>
      </c>
      <c r="D22" s="20" t="s">
        <v>89</v>
      </c>
      <c r="E22" s="13" t="s">
        <v>28</v>
      </c>
      <c r="F22" s="14" t="s">
        <v>29</v>
      </c>
      <c r="G22" s="13" t="s">
        <v>28</v>
      </c>
      <c r="H22" s="13" t="s">
        <v>28</v>
      </c>
      <c r="I22" s="13" t="s">
        <v>28</v>
      </c>
      <c r="J22" s="10">
        <v>1</v>
      </c>
      <c r="K22" s="11" t="s">
        <v>52</v>
      </c>
      <c r="L22" s="11" t="s">
        <v>118</v>
      </c>
      <c r="M22" s="11"/>
      <c r="N22" s="11" t="s">
        <v>119</v>
      </c>
      <c r="O22" s="16" t="s">
        <v>34</v>
      </c>
      <c r="P22" s="17"/>
      <c r="Q22" s="17"/>
      <c r="R22" s="11"/>
    </row>
    <row r="23" spans="1:18" ht="15" customHeight="1" x14ac:dyDescent="0.2">
      <c r="A23" s="18">
        <v>20</v>
      </c>
      <c r="B23" s="19" t="s">
        <v>120</v>
      </c>
      <c r="C23" s="19" t="s">
        <v>100</v>
      </c>
      <c r="D23" s="20" t="s">
        <v>89</v>
      </c>
      <c r="E23" s="13" t="s">
        <v>28</v>
      </c>
      <c r="F23" s="13" t="s">
        <v>28</v>
      </c>
      <c r="G23" s="13" t="s">
        <v>28</v>
      </c>
      <c r="H23" s="14" t="s">
        <v>29</v>
      </c>
      <c r="I23" s="13" t="s">
        <v>28</v>
      </c>
      <c r="J23" s="18">
        <v>1</v>
      </c>
      <c r="K23" s="11" t="s">
        <v>52</v>
      </c>
      <c r="L23" s="19"/>
      <c r="M23" s="19"/>
      <c r="N23" s="19" t="s">
        <v>98</v>
      </c>
      <c r="O23" s="16" t="s">
        <v>34</v>
      </c>
      <c r="P23" s="17"/>
      <c r="Q23" s="17"/>
      <c r="R23" s="19"/>
    </row>
    <row r="24" spans="1:18" ht="15" customHeight="1" x14ac:dyDescent="0.2">
      <c r="A24" s="10">
        <v>21</v>
      </c>
      <c r="B24" s="11" t="s">
        <v>121</v>
      </c>
      <c r="C24" s="11" t="s">
        <v>26</v>
      </c>
      <c r="D24" s="22" t="s">
        <v>122</v>
      </c>
      <c r="E24" s="13" t="s">
        <v>28</v>
      </c>
      <c r="F24" s="14" t="s">
        <v>29</v>
      </c>
      <c r="G24" s="14" t="s">
        <v>29</v>
      </c>
      <c r="H24" s="14" t="s">
        <v>29</v>
      </c>
      <c r="I24" s="14" t="s">
        <v>29</v>
      </c>
      <c r="J24" s="10">
        <v>4</v>
      </c>
      <c r="K24" s="15" t="s">
        <v>30</v>
      </c>
      <c r="L24" s="11" t="s">
        <v>123</v>
      </c>
      <c r="M24" s="11" t="s">
        <v>124</v>
      </c>
      <c r="N24" s="11" t="s">
        <v>125</v>
      </c>
      <c r="O24" s="16" t="s">
        <v>34</v>
      </c>
      <c r="P24" s="17"/>
      <c r="Q24" s="17"/>
      <c r="R24" s="11"/>
    </row>
    <row r="25" spans="1:18" ht="15" customHeight="1" x14ac:dyDescent="0.2">
      <c r="A25" s="18">
        <v>22</v>
      </c>
      <c r="B25" s="19" t="s">
        <v>126</v>
      </c>
      <c r="C25" s="19" t="s">
        <v>36</v>
      </c>
      <c r="D25" s="22" t="s">
        <v>122</v>
      </c>
      <c r="E25" s="13" t="s">
        <v>28</v>
      </c>
      <c r="F25" s="13" t="s">
        <v>28</v>
      </c>
      <c r="G25" s="14" t="s">
        <v>29</v>
      </c>
      <c r="H25" s="14" t="s">
        <v>29</v>
      </c>
      <c r="I25" s="14" t="s">
        <v>29</v>
      </c>
      <c r="J25" s="18">
        <v>3</v>
      </c>
      <c r="K25" s="15" t="s">
        <v>30</v>
      </c>
      <c r="L25" s="19" t="s">
        <v>127</v>
      </c>
      <c r="M25" s="19" t="s">
        <v>128</v>
      </c>
      <c r="N25" s="19" t="s">
        <v>129</v>
      </c>
      <c r="O25" s="16" t="s">
        <v>34</v>
      </c>
      <c r="P25" s="17"/>
      <c r="Q25" s="17"/>
      <c r="R25" s="19"/>
    </row>
    <row r="26" spans="1:18" ht="15" customHeight="1" x14ac:dyDescent="0.2">
      <c r="A26" s="10">
        <v>23</v>
      </c>
      <c r="B26" s="11" t="s">
        <v>130</v>
      </c>
      <c r="C26" s="11" t="s">
        <v>46</v>
      </c>
      <c r="D26" s="22" t="s">
        <v>122</v>
      </c>
      <c r="E26" s="13" t="s">
        <v>28</v>
      </c>
      <c r="F26" s="13" t="s">
        <v>28</v>
      </c>
      <c r="G26" s="14" t="s">
        <v>29</v>
      </c>
      <c r="H26" s="14" t="s">
        <v>29</v>
      </c>
      <c r="I26" s="14" t="s">
        <v>29</v>
      </c>
      <c r="J26" s="10">
        <v>3</v>
      </c>
      <c r="K26" s="15" t="s">
        <v>30</v>
      </c>
      <c r="L26" s="11" t="s">
        <v>131</v>
      </c>
      <c r="M26" s="11" t="s">
        <v>132</v>
      </c>
      <c r="N26" s="11" t="s">
        <v>133</v>
      </c>
      <c r="O26" s="16" t="s">
        <v>34</v>
      </c>
      <c r="P26" s="17"/>
      <c r="Q26" s="17"/>
      <c r="R26" s="11"/>
    </row>
    <row r="27" spans="1:18" ht="15" customHeight="1" x14ac:dyDescent="0.2">
      <c r="A27" s="18">
        <v>24</v>
      </c>
      <c r="B27" s="19" t="s">
        <v>134</v>
      </c>
      <c r="C27" s="19" t="s">
        <v>135</v>
      </c>
      <c r="D27" s="22" t="s">
        <v>122</v>
      </c>
      <c r="E27" s="13" t="s">
        <v>28</v>
      </c>
      <c r="F27" s="13" t="s">
        <v>28</v>
      </c>
      <c r="G27" s="13" t="s">
        <v>28</v>
      </c>
      <c r="H27" s="14" t="s">
        <v>29</v>
      </c>
      <c r="I27" s="14" t="s">
        <v>29</v>
      </c>
      <c r="J27" s="18">
        <v>2</v>
      </c>
      <c r="K27" s="21" t="s">
        <v>95</v>
      </c>
      <c r="L27" s="19" t="s">
        <v>136</v>
      </c>
      <c r="M27" s="19" t="s">
        <v>137</v>
      </c>
      <c r="N27" s="19" t="s">
        <v>138</v>
      </c>
      <c r="O27" s="16" t="s">
        <v>34</v>
      </c>
      <c r="P27" s="17"/>
      <c r="Q27" s="17"/>
      <c r="R27" s="19"/>
    </row>
    <row r="28" spans="1:18" ht="15" customHeight="1" x14ac:dyDescent="0.2">
      <c r="A28" s="10">
        <v>25</v>
      </c>
      <c r="B28" s="11" t="s">
        <v>139</v>
      </c>
      <c r="C28" s="11" t="s">
        <v>140</v>
      </c>
      <c r="D28" s="22" t="s">
        <v>122</v>
      </c>
      <c r="E28" s="13" t="s">
        <v>28</v>
      </c>
      <c r="F28" s="13" t="s">
        <v>28</v>
      </c>
      <c r="G28" s="13" t="s">
        <v>28</v>
      </c>
      <c r="H28" s="13" t="s">
        <v>28</v>
      </c>
      <c r="I28" s="14" t="s">
        <v>29</v>
      </c>
      <c r="J28" s="10">
        <v>1</v>
      </c>
      <c r="K28" s="11" t="s">
        <v>52</v>
      </c>
      <c r="L28" s="11" t="s">
        <v>141</v>
      </c>
      <c r="M28" s="11" t="s">
        <v>142</v>
      </c>
      <c r="N28" s="11" t="s">
        <v>143</v>
      </c>
      <c r="O28" s="16" t="s">
        <v>34</v>
      </c>
      <c r="P28" s="17"/>
      <c r="Q28" s="17"/>
      <c r="R28" s="11"/>
    </row>
    <row r="29" spans="1:18" ht="15" customHeight="1" x14ac:dyDescent="0.2">
      <c r="A29" s="18">
        <v>26</v>
      </c>
      <c r="B29" s="19" t="s">
        <v>144</v>
      </c>
      <c r="C29" s="19" t="s">
        <v>145</v>
      </c>
      <c r="D29" s="22" t="s">
        <v>122</v>
      </c>
      <c r="E29" s="13" t="s">
        <v>28</v>
      </c>
      <c r="F29" s="13" t="s">
        <v>28</v>
      </c>
      <c r="G29" s="13" t="s">
        <v>28</v>
      </c>
      <c r="H29" s="13" t="s">
        <v>28</v>
      </c>
      <c r="I29" s="14" t="s">
        <v>29</v>
      </c>
      <c r="J29" s="18">
        <v>1</v>
      </c>
      <c r="K29" s="11" t="s">
        <v>52</v>
      </c>
      <c r="L29" s="19" t="s">
        <v>146</v>
      </c>
      <c r="M29" s="19" t="s">
        <v>147</v>
      </c>
      <c r="N29" s="19" t="s">
        <v>148</v>
      </c>
      <c r="O29" s="16" t="s">
        <v>34</v>
      </c>
      <c r="P29" s="17"/>
      <c r="Q29" s="17"/>
      <c r="R29" s="19"/>
    </row>
    <row r="30" spans="1:18" ht="15" customHeight="1" x14ac:dyDescent="0.2">
      <c r="A30" s="10">
        <v>27</v>
      </c>
      <c r="B30" s="11" t="s">
        <v>149</v>
      </c>
      <c r="C30" s="11" t="s">
        <v>150</v>
      </c>
      <c r="D30" s="22" t="s">
        <v>122</v>
      </c>
      <c r="E30" s="13" t="s">
        <v>28</v>
      </c>
      <c r="F30" s="13" t="s">
        <v>28</v>
      </c>
      <c r="G30" s="14" t="s">
        <v>29</v>
      </c>
      <c r="H30" s="14" t="s">
        <v>29</v>
      </c>
      <c r="I30" s="13" t="s">
        <v>28</v>
      </c>
      <c r="J30" s="10">
        <v>2</v>
      </c>
      <c r="K30" s="21" t="s">
        <v>95</v>
      </c>
      <c r="L30" s="11"/>
      <c r="M30" s="11"/>
      <c r="N30" s="11" t="s">
        <v>151</v>
      </c>
      <c r="O30" s="16" t="s">
        <v>34</v>
      </c>
      <c r="P30" s="17"/>
      <c r="Q30" s="17"/>
      <c r="R30" s="11"/>
    </row>
    <row r="31" spans="1:18" ht="15" customHeight="1" x14ac:dyDescent="0.2">
      <c r="A31" s="18">
        <v>28</v>
      </c>
      <c r="B31" s="19" t="s">
        <v>152</v>
      </c>
      <c r="C31" s="19" t="s">
        <v>62</v>
      </c>
      <c r="D31" s="22" t="s">
        <v>122</v>
      </c>
      <c r="E31" s="13" t="s">
        <v>28</v>
      </c>
      <c r="F31" s="13" t="s">
        <v>28</v>
      </c>
      <c r="G31" s="13" t="s">
        <v>28</v>
      </c>
      <c r="H31" s="14" t="s">
        <v>29</v>
      </c>
      <c r="I31" s="13" t="s">
        <v>28</v>
      </c>
      <c r="J31" s="18">
        <v>1</v>
      </c>
      <c r="K31" s="11" t="s">
        <v>52</v>
      </c>
      <c r="L31" s="19"/>
      <c r="M31" s="19"/>
      <c r="N31" s="19"/>
      <c r="O31" s="16" t="s">
        <v>34</v>
      </c>
      <c r="P31" s="17"/>
      <c r="Q31" s="17"/>
      <c r="R31" s="19"/>
    </row>
    <row r="32" spans="1:18" ht="15" customHeight="1" x14ac:dyDescent="0.2">
      <c r="A32" s="10">
        <v>29</v>
      </c>
      <c r="B32" s="11" t="s">
        <v>153</v>
      </c>
      <c r="C32" s="11" t="s">
        <v>154</v>
      </c>
      <c r="D32" s="22" t="s">
        <v>122</v>
      </c>
      <c r="E32" s="13" t="s">
        <v>28</v>
      </c>
      <c r="F32" s="13" t="s">
        <v>28</v>
      </c>
      <c r="G32" s="14" t="s">
        <v>29</v>
      </c>
      <c r="H32" s="13" t="s">
        <v>28</v>
      </c>
      <c r="I32" s="13" t="s">
        <v>28</v>
      </c>
      <c r="J32" s="10">
        <v>1</v>
      </c>
      <c r="K32" s="11" t="s">
        <v>52</v>
      </c>
      <c r="L32" s="11"/>
      <c r="M32" s="11"/>
      <c r="N32" s="11"/>
      <c r="O32" s="16" t="s">
        <v>34</v>
      </c>
      <c r="P32" s="17"/>
      <c r="Q32" s="17"/>
      <c r="R32" s="11"/>
    </row>
    <row r="33" spans="1:18" ht="15" customHeight="1" x14ac:dyDescent="0.2">
      <c r="A33" s="18">
        <v>30</v>
      </c>
      <c r="B33" s="19" t="s">
        <v>155</v>
      </c>
      <c r="C33" s="19" t="s">
        <v>156</v>
      </c>
      <c r="D33" s="22" t="s">
        <v>122</v>
      </c>
      <c r="E33" s="14" t="s">
        <v>29</v>
      </c>
      <c r="F33" s="14" t="s">
        <v>29</v>
      </c>
      <c r="G33" s="13" t="s">
        <v>28</v>
      </c>
      <c r="H33" s="13" t="s">
        <v>28</v>
      </c>
      <c r="I33" s="13" t="s">
        <v>28</v>
      </c>
      <c r="J33" s="18">
        <v>2</v>
      </c>
      <c r="K33" s="21" t="s">
        <v>95</v>
      </c>
      <c r="L33" s="19" t="s">
        <v>157</v>
      </c>
      <c r="M33" s="19" t="s">
        <v>158</v>
      </c>
      <c r="N33" s="19" t="s">
        <v>159</v>
      </c>
      <c r="O33" s="16" t="s">
        <v>34</v>
      </c>
      <c r="P33" s="17"/>
      <c r="Q33" s="17"/>
      <c r="R33" s="19"/>
    </row>
    <row r="34" spans="1:18" ht="15" customHeight="1" x14ac:dyDescent="0.2">
      <c r="A34" s="10">
        <v>31</v>
      </c>
      <c r="B34" s="11" t="s">
        <v>160</v>
      </c>
      <c r="C34" s="11" t="s">
        <v>145</v>
      </c>
      <c r="D34" s="22" t="s">
        <v>122</v>
      </c>
      <c r="E34" s="13" t="s">
        <v>28</v>
      </c>
      <c r="F34" s="14" t="s">
        <v>29</v>
      </c>
      <c r="G34" s="13" t="s">
        <v>28</v>
      </c>
      <c r="H34" s="13" t="s">
        <v>28</v>
      </c>
      <c r="I34" s="13" t="s">
        <v>28</v>
      </c>
      <c r="J34" s="10">
        <v>1</v>
      </c>
      <c r="K34" s="11" t="s">
        <v>52</v>
      </c>
      <c r="L34" s="11" t="s">
        <v>161</v>
      </c>
      <c r="M34" s="11" t="s">
        <v>162</v>
      </c>
      <c r="N34" s="11" t="s">
        <v>163</v>
      </c>
      <c r="O34" s="16" t="s">
        <v>34</v>
      </c>
      <c r="P34" s="17"/>
      <c r="Q34" s="17"/>
      <c r="R34" s="11"/>
    </row>
    <row r="35" spans="1:18" ht="15" customHeight="1" x14ac:dyDescent="0.2">
      <c r="A35" s="18">
        <v>32</v>
      </c>
      <c r="B35" s="19" t="s">
        <v>164</v>
      </c>
      <c r="C35" s="19" t="s">
        <v>165</v>
      </c>
      <c r="D35" s="22" t="s">
        <v>122</v>
      </c>
      <c r="E35" s="13" t="s">
        <v>28</v>
      </c>
      <c r="F35" s="14" t="s">
        <v>29</v>
      </c>
      <c r="G35" s="13" t="s">
        <v>28</v>
      </c>
      <c r="H35" s="13" t="s">
        <v>28</v>
      </c>
      <c r="I35" s="13" t="s">
        <v>28</v>
      </c>
      <c r="J35" s="18">
        <v>1</v>
      </c>
      <c r="K35" s="11" t="s">
        <v>52</v>
      </c>
      <c r="L35" s="19" t="s">
        <v>166</v>
      </c>
      <c r="M35" s="19" t="s">
        <v>167</v>
      </c>
      <c r="N35" s="19" t="s">
        <v>168</v>
      </c>
      <c r="O35" s="16" t="s">
        <v>34</v>
      </c>
      <c r="P35" s="17"/>
      <c r="Q35" s="17"/>
      <c r="R35" s="19"/>
    </row>
    <row r="36" spans="1:18" ht="15" customHeight="1" x14ac:dyDescent="0.2">
      <c r="A36" s="10">
        <v>33</v>
      </c>
      <c r="B36" s="11" t="s">
        <v>169</v>
      </c>
      <c r="C36" s="11" t="s">
        <v>170</v>
      </c>
      <c r="D36" s="22" t="s">
        <v>122</v>
      </c>
      <c r="E36" s="13" t="s">
        <v>28</v>
      </c>
      <c r="F36" s="14" t="s">
        <v>29</v>
      </c>
      <c r="G36" s="13" t="s">
        <v>28</v>
      </c>
      <c r="H36" s="13" t="s">
        <v>28</v>
      </c>
      <c r="I36" s="13" t="s">
        <v>28</v>
      </c>
      <c r="J36" s="10">
        <v>1</v>
      </c>
      <c r="K36" s="11" t="s">
        <v>52</v>
      </c>
      <c r="L36" s="11" t="s">
        <v>171</v>
      </c>
      <c r="M36" s="11" t="s">
        <v>172</v>
      </c>
      <c r="N36" s="11" t="s">
        <v>173</v>
      </c>
      <c r="O36" s="16" t="s">
        <v>34</v>
      </c>
      <c r="P36" s="17"/>
      <c r="Q36" s="17"/>
      <c r="R36" s="11"/>
    </row>
    <row r="37" spans="1:18" ht="15" customHeight="1" x14ac:dyDescent="0.2">
      <c r="A37" s="18">
        <v>34</v>
      </c>
      <c r="B37" s="19" t="s">
        <v>174</v>
      </c>
      <c r="C37" s="19" t="s">
        <v>175</v>
      </c>
      <c r="D37" s="22" t="s">
        <v>122</v>
      </c>
      <c r="E37" s="14" t="s">
        <v>29</v>
      </c>
      <c r="F37" s="13" t="s">
        <v>28</v>
      </c>
      <c r="G37" s="13" t="s">
        <v>28</v>
      </c>
      <c r="H37" s="13" t="s">
        <v>28</v>
      </c>
      <c r="I37" s="13" t="s">
        <v>28</v>
      </c>
      <c r="J37" s="18">
        <v>1</v>
      </c>
      <c r="K37" s="11" t="s">
        <v>52</v>
      </c>
      <c r="L37" s="19"/>
      <c r="M37" s="19"/>
      <c r="N37" s="19"/>
      <c r="O37" s="16" t="s">
        <v>34</v>
      </c>
      <c r="P37" s="17"/>
      <c r="Q37" s="17"/>
      <c r="R37" s="19"/>
    </row>
    <row r="38" spans="1:18" ht="15" customHeight="1" x14ac:dyDescent="0.2">
      <c r="A38" s="10">
        <v>35</v>
      </c>
      <c r="B38" s="11" t="s">
        <v>176</v>
      </c>
      <c r="C38" s="11" t="s">
        <v>177</v>
      </c>
      <c r="D38" s="22" t="s">
        <v>122</v>
      </c>
      <c r="E38" s="13" t="s">
        <v>28</v>
      </c>
      <c r="F38" s="13" t="s">
        <v>28</v>
      </c>
      <c r="G38" s="14" t="s">
        <v>29</v>
      </c>
      <c r="H38" s="13" t="s">
        <v>28</v>
      </c>
      <c r="I38" s="13" t="s">
        <v>28</v>
      </c>
      <c r="J38" s="10">
        <v>1</v>
      </c>
      <c r="K38" s="11" t="s">
        <v>52</v>
      </c>
      <c r="L38" s="11"/>
      <c r="M38" s="11"/>
      <c r="N38" s="11" t="s">
        <v>178</v>
      </c>
      <c r="O38" s="16" t="s">
        <v>34</v>
      </c>
      <c r="P38" s="17"/>
      <c r="Q38" s="17"/>
      <c r="R38" s="11"/>
    </row>
    <row r="39" spans="1:18" ht="15" customHeight="1" x14ac:dyDescent="0.2">
      <c r="A39" s="18">
        <v>36</v>
      </c>
      <c r="B39" s="19" t="s">
        <v>179</v>
      </c>
      <c r="C39" s="19" t="s">
        <v>180</v>
      </c>
      <c r="D39" s="22" t="s">
        <v>122</v>
      </c>
      <c r="E39" s="13" t="s">
        <v>28</v>
      </c>
      <c r="F39" s="13" t="s">
        <v>28</v>
      </c>
      <c r="G39" s="14" t="s">
        <v>29</v>
      </c>
      <c r="H39" s="13" t="s">
        <v>28</v>
      </c>
      <c r="I39" s="13" t="s">
        <v>28</v>
      </c>
      <c r="J39" s="18">
        <v>1</v>
      </c>
      <c r="K39" s="11" t="s">
        <v>52</v>
      </c>
      <c r="L39" s="19"/>
      <c r="M39" s="19"/>
      <c r="N39" s="19"/>
      <c r="O39" s="16" t="s">
        <v>34</v>
      </c>
      <c r="P39" s="17"/>
      <c r="Q39" s="17"/>
      <c r="R39" s="19"/>
    </row>
    <row r="40" spans="1:18" ht="15" customHeight="1" x14ac:dyDescent="0.2">
      <c r="A40" s="10">
        <v>37</v>
      </c>
      <c r="B40" s="11" t="s">
        <v>181</v>
      </c>
      <c r="C40" s="11" t="s">
        <v>182</v>
      </c>
      <c r="D40" s="23" t="s">
        <v>183</v>
      </c>
      <c r="E40" s="14" t="s">
        <v>29</v>
      </c>
      <c r="F40" s="13" t="s">
        <v>28</v>
      </c>
      <c r="G40" s="14" t="s">
        <v>29</v>
      </c>
      <c r="H40" s="14" t="s">
        <v>29</v>
      </c>
      <c r="I40" s="14" t="s">
        <v>29</v>
      </c>
      <c r="J40" s="10">
        <v>4</v>
      </c>
      <c r="K40" s="15" t="s">
        <v>30</v>
      </c>
      <c r="L40" s="11" t="s">
        <v>184</v>
      </c>
      <c r="M40" s="11" t="s">
        <v>185</v>
      </c>
      <c r="N40" s="11" t="s">
        <v>186</v>
      </c>
      <c r="O40" s="16" t="s">
        <v>34</v>
      </c>
      <c r="P40" s="17"/>
      <c r="Q40" s="17"/>
      <c r="R40" s="11"/>
    </row>
    <row r="41" spans="1:18" ht="15" customHeight="1" x14ac:dyDescent="0.2">
      <c r="A41" s="18">
        <v>38</v>
      </c>
      <c r="B41" s="19" t="s">
        <v>187</v>
      </c>
      <c r="C41" s="19" t="s">
        <v>188</v>
      </c>
      <c r="D41" s="23" t="s">
        <v>183</v>
      </c>
      <c r="E41" s="14" t="s">
        <v>29</v>
      </c>
      <c r="F41" s="13" t="s">
        <v>28</v>
      </c>
      <c r="G41" s="14" t="s">
        <v>29</v>
      </c>
      <c r="H41" s="14" t="s">
        <v>29</v>
      </c>
      <c r="I41" s="14" t="s">
        <v>29</v>
      </c>
      <c r="J41" s="18">
        <v>4</v>
      </c>
      <c r="K41" s="15" t="s">
        <v>30</v>
      </c>
      <c r="L41" s="19" t="s">
        <v>189</v>
      </c>
      <c r="M41" s="19" t="s">
        <v>190</v>
      </c>
      <c r="N41" s="19" t="s">
        <v>191</v>
      </c>
      <c r="O41" s="16" t="s">
        <v>34</v>
      </c>
      <c r="P41" s="17"/>
      <c r="Q41" s="17"/>
      <c r="R41" s="19"/>
    </row>
    <row r="42" spans="1:18" ht="15" customHeight="1" x14ac:dyDescent="0.2">
      <c r="A42" s="10">
        <v>39</v>
      </c>
      <c r="B42" s="11" t="s">
        <v>192</v>
      </c>
      <c r="C42" s="11" t="s">
        <v>193</v>
      </c>
      <c r="D42" s="23" t="s">
        <v>183</v>
      </c>
      <c r="E42" s="14" t="s">
        <v>29</v>
      </c>
      <c r="F42" s="14" t="s">
        <v>29</v>
      </c>
      <c r="G42" s="14" t="s">
        <v>29</v>
      </c>
      <c r="H42" s="14" t="s">
        <v>29</v>
      </c>
      <c r="I42" s="14" t="s">
        <v>29</v>
      </c>
      <c r="J42" s="10">
        <v>5</v>
      </c>
      <c r="K42" s="15" t="s">
        <v>30</v>
      </c>
      <c r="L42" s="11" t="s">
        <v>194</v>
      </c>
      <c r="M42" s="11" t="s">
        <v>195</v>
      </c>
      <c r="N42" s="11" t="s">
        <v>196</v>
      </c>
      <c r="O42" s="16" t="s">
        <v>34</v>
      </c>
      <c r="P42" s="17"/>
      <c r="Q42" s="17"/>
      <c r="R42" s="11"/>
    </row>
    <row r="43" spans="1:18" ht="15" customHeight="1" x14ac:dyDescent="0.2">
      <c r="A43" s="18">
        <v>40</v>
      </c>
      <c r="B43" s="19" t="s">
        <v>197</v>
      </c>
      <c r="C43" s="19" t="s">
        <v>198</v>
      </c>
      <c r="D43" s="23" t="s">
        <v>183</v>
      </c>
      <c r="E43" s="13" t="s">
        <v>28</v>
      </c>
      <c r="F43" s="13" t="s">
        <v>28</v>
      </c>
      <c r="G43" s="14" t="s">
        <v>29</v>
      </c>
      <c r="H43" s="14" t="s">
        <v>29</v>
      </c>
      <c r="I43" s="13" t="s">
        <v>28</v>
      </c>
      <c r="J43" s="18">
        <v>2</v>
      </c>
      <c r="K43" s="21" t="s">
        <v>95</v>
      </c>
      <c r="L43" s="19"/>
      <c r="M43" s="19"/>
      <c r="N43" s="19"/>
      <c r="O43" s="16" t="s">
        <v>34</v>
      </c>
      <c r="P43" s="17"/>
      <c r="Q43" s="17"/>
      <c r="R43" s="19"/>
    </row>
    <row r="44" spans="1:18" ht="15" customHeight="1" x14ac:dyDescent="0.2">
      <c r="A44" s="10">
        <v>41</v>
      </c>
      <c r="B44" s="11" t="s">
        <v>199</v>
      </c>
      <c r="C44" s="11" t="s">
        <v>200</v>
      </c>
      <c r="D44" s="23" t="s">
        <v>183</v>
      </c>
      <c r="E44" s="13" t="s">
        <v>28</v>
      </c>
      <c r="F44" s="13" t="s">
        <v>28</v>
      </c>
      <c r="G44" s="13" t="s">
        <v>28</v>
      </c>
      <c r="H44" s="14" t="s">
        <v>29</v>
      </c>
      <c r="I44" s="14" t="s">
        <v>29</v>
      </c>
      <c r="J44" s="10">
        <v>2</v>
      </c>
      <c r="K44" s="21" t="s">
        <v>95</v>
      </c>
      <c r="L44" s="11" t="s">
        <v>201</v>
      </c>
      <c r="M44" s="11" t="s">
        <v>202</v>
      </c>
      <c r="N44" s="11" t="s">
        <v>203</v>
      </c>
      <c r="O44" s="16" t="s">
        <v>34</v>
      </c>
      <c r="P44" s="17"/>
      <c r="Q44" s="17"/>
      <c r="R44" s="11"/>
    </row>
    <row r="45" spans="1:18" ht="15" customHeight="1" x14ac:dyDescent="0.2">
      <c r="A45" s="18">
        <v>42</v>
      </c>
      <c r="B45" s="19" t="s">
        <v>204</v>
      </c>
      <c r="C45" s="19" t="s">
        <v>205</v>
      </c>
      <c r="D45" s="23" t="s">
        <v>183</v>
      </c>
      <c r="E45" s="13" t="s">
        <v>28</v>
      </c>
      <c r="F45" s="13" t="s">
        <v>28</v>
      </c>
      <c r="G45" s="13" t="s">
        <v>28</v>
      </c>
      <c r="H45" s="14" t="s">
        <v>29</v>
      </c>
      <c r="I45" s="13" t="s">
        <v>28</v>
      </c>
      <c r="J45" s="18">
        <v>1</v>
      </c>
      <c r="K45" s="11" t="s">
        <v>52</v>
      </c>
      <c r="L45" s="19"/>
      <c r="M45" s="19"/>
      <c r="N45" s="19"/>
      <c r="O45" s="16" t="s">
        <v>34</v>
      </c>
      <c r="P45" s="17"/>
      <c r="Q45" s="17"/>
      <c r="R45" s="19"/>
    </row>
    <row r="46" spans="1:18" ht="15" customHeight="1" x14ac:dyDescent="0.2">
      <c r="A46" s="10">
        <v>43</v>
      </c>
      <c r="B46" s="11" t="s">
        <v>206</v>
      </c>
      <c r="C46" s="11" t="s">
        <v>207</v>
      </c>
      <c r="D46" s="23" t="s">
        <v>183</v>
      </c>
      <c r="E46" s="13" t="s">
        <v>28</v>
      </c>
      <c r="F46" s="13" t="s">
        <v>28</v>
      </c>
      <c r="G46" s="13" t="s">
        <v>28</v>
      </c>
      <c r="H46" s="13" t="s">
        <v>28</v>
      </c>
      <c r="I46" s="14" t="s">
        <v>29</v>
      </c>
      <c r="J46" s="10">
        <v>1</v>
      </c>
      <c r="K46" s="11" t="s">
        <v>52</v>
      </c>
      <c r="L46" s="11" t="s">
        <v>208</v>
      </c>
      <c r="M46" s="11" t="s">
        <v>209</v>
      </c>
      <c r="N46" s="11" t="s">
        <v>210</v>
      </c>
      <c r="O46" s="16" t="s">
        <v>34</v>
      </c>
      <c r="P46" s="17"/>
      <c r="Q46" s="17"/>
      <c r="R46" s="11"/>
    </row>
    <row r="47" spans="1:18" ht="15" customHeight="1" x14ac:dyDescent="0.2">
      <c r="A47" s="18">
        <v>44</v>
      </c>
      <c r="B47" s="19" t="s">
        <v>211</v>
      </c>
      <c r="C47" s="19" t="s">
        <v>26</v>
      </c>
      <c r="D47" s="23" t="s">
        <v>183</v>
      </c>
      <c r="E47" s="13" t="s">
        <v>28</v>
      </c>
      <c r="F47" s="13" t="s">
        <v>28</v>
      </c>
      <c r="G47" s="13" t="s">
        <v>28</v>
      </c>
      <c r="H47" s="13" t="s">
        <v>28</v>
      </c>
      <c r="I47" s="14" t="s">
        <v>29</v>
      </c>
      <c r="J47" s="18">
        <v>1</v>
      </c>
      <c r="K47" s="11" t="s">
        <v>52</v>
      </c>
      <c r="L47" s="19" t="s">
        <v>212</v>
      </c>
      <c r="M47" s="19" t="s">
        <v>213</v>
      </c>
      <c r="N47" s="19" t="s">
        <v>214</v>
      </c>
      <c r="O47" s="16" t="s">
        <v>34</v>
      </c>
      <c r="P47" s="17"/>
      <c r="Q47" s="17"/>
      <c r="R47" s="19"/>
    </row>
    <row r="48" spans="1:18" ht="15" customHeight="1" x14ac:dyDescent="0.2">
      <c r="A48" s="10">
        <v>45</v>
      </c>
      <c r="B48" s="11" t="s">
        <v>215</v>
      </c>
      <c r="C48" s="11" t="s">
        <v>145</v>
      </c>
      <c r="D48" s="23" t="s">
        <v>183</v>
      </c>
      <c r="E48" s="13" t="s">
        <v>28</v>
      </c>
      <c r="F48" s="13" t="s">
        <v>28</v>
      </c>
      <c r="G48" s="14" t="s">
        <v>29</v>
      </c>
      <c r="H48" s="13" t="s">
        <v>28</v>
      </c>
      <c r="I48" s="13" t="s">
        <v>28</v>
      </c>
      <c r="J48" s="10">
        <v>1</v>
      </c>
      <c r="K48" s="11" t="s">
        <v>52</v>
      </c>
      <c r="L48" s="11"/>
      <c r="M48" s="11"/>
      <c r="N48" s="11"/>
      <c r="O48" s="16" t="s">
        <v>34</v>
      </c>
      <c r="P48" s="17"/>
      <c r="Q48" s="17"/>
      <c r="R48" s="11"/>
    </row>
    <row r="49" spans="1:18" ht="15" customHeight="1" x14ac:dyDescent="0.2">
      <c r="A49" s="18">
        <v>46</v>
      </c>
      <c r="B49" s="19" t="s">
        <v>216</v>
      </c>
      <c r="C49" s="19" t="s">
        <v>217</v>
      </c>
      <c r="D49" s="23" t="s">
        <v>183</v>
      </c>
      <c r="E49" s="13" t="s">
        <v>28</v>
      </c>
      <c r="F49" s="13" t="s">
        <v>28</v>
      </c>
      <c r="G49" s="14" t="s">
        <v>29</v>
      </c>
      <c r="H49" s="13" t="s">
        <v>28</v>
      </c>
      <c r="I49" s="13" t="s">
        <v>28</v>
      </c>
      <c r="J49" s="18">
        <v>1</v>
      </c>
      <c r="K49" s="11" t="s">
        <v>52</v>
      </c>
      <c r="L49" s="19"/>
      <c r="M49" s="19"/>
      <c r="N49" s="19" t="s">
        <v>218</v>
      </c>
      <c r="O49" s="16" t="s">
        <v>34</v>
      </c>
      <c r="P49" s="17"/>
      <c r="Q49" s="17"/>
      <c r="R49" s="19"/>
    </row>
    <row r="50" spans="1:18" ht="15" customHeight="1" x14ac:dyDescent="0.2">
      <c r="A50" s="10">
        <v>47</v>
      </c>
      <c r="B50" s="11" t="s">
        <v>219</v>
      </c>
      <c r="C50" s="11" t="s">
        <v>88</v>
      </c>
      <c r="D50" s="23" t="s">
        <v>183</v>
      </c>
      <c r="E50" s="13" t="s">
        <v>28</v>
      </c>
      <c r="F50" s="13" t="s">
        <v>28</v>
      </c>
      <c r="G50" s="14" t="s">
        <v>29</v>
      </c>
      <c r="H50" s="13" t="s">
        <v>28</v>
      </c>
      <c r="I50" s="13" t="s">
        <v>28</v>
      </c>
      <c r="J50" s="10">
        <v>1</v>
      </c>
      <c r="K50" s="11" t="s">
        <v>52</v>
      </c>
      <c r="L50" s="11"/>
      <c r="M50" s="11"/>
      <c r="N50" s="11"/>
      <c r="O50" s="16" t="s">
        <v>34</v>
      </c>
      <c r="P50" s="17"/>
      <c r="Q50" s="17"/>
      <c r="R50" s="11"/>
    </row>
    <row r="51" spans="1:18" ht="15" customHeight="1" x14ac:dyDescent="0.2">
      <c r="A51" s="18">
        <v>48</v>
      </c>
      <c r="B51" s="19" t="s">
        <v>220</v>
      </c>
      <c r="C51" s="19" t="s">
        <v>221</v>
      </c>
      <c r="D51" s="24" t="s">
        <v>222</v>
      </c>
      <c r="E51" s="13" t="s">
        <v>28</v>
      </c>
      <c r="F51" s="13" t="s">
        <v>28</v>
      </c>
      <c r="G51" s="14" t="s">
        <v>29</v>
      </c>
      <c r="H51" s="14" t="s">
        <v>29</v>
      </c>
      <c r="I51" s="14" t="s">
        <v>29</v>
      </c>
      <c r="J51" s="18">
        <v>3</v>
      </c>
      <c r="K51" s="15" t="s">
        <v>30</v>
      </c>
      <c r="L51" s="19" t="s">
        <v>42</v>
      </c>
      <c r="M51" s="19" t="s">
        <v>43</v>
      </c>
      <c r="N51" s="19" t="s">
        <v>44</v>
      </c>
      <c r="O51" s="16" t="s">
        <v>34</v>
      </c>
      <c r="P51" s="17"/>
      <c r="Q51" s="17"/>
      <c r="R51" s="19"/>
    </row>
    <row r="52" spans="1:18" ht="15" customHeight="1" x14ac:dyDescent="0.2">
      <c r="A52" s="10">
        <v>49</v>
      </c>
      <c r="B52" s="11" t="s">
        <v>223</v>
      </c>
      <c r="C52" s="11" t="s">
        <v>224</v>
      </c>
      <c r="D52" s="24" t="s">
        <v>222</v>
      </c>
      <c r="E52" s="13" t="s">
        <v>28</v>
      </c>
      <c r="F52" s="13" t="s">
        <v>28</v>
      </c>
      <c r="G52" s="14" t="s">
        <v>29</v>
      </c>
      <c r="H52" s="14" t="s">
        <v>29</v>
      </c>
      <c r="I52" s="14" t="s">
        <v>29</v>
      </c>
      <c r="J52" s="10">
        <v>3</v>
      </c>
      <c r="K52" s="15" t="s">
        <v>30</v>
      </c>
      <c r="L52" s="11" t="s">
        <v>225</v>
      </c>
      <c r="M52" s="11" t="s">
        <v>226</v>
      </c>
      <c r="N52" s="11" t="s">
        <v>227</v>
      </c>
      <c r="O52" s="16" t="s">
        <v>34</v>
      </c>
      <c r="P52" s="17"/>
      <c r="Q52" s="17"/>
      <c r="R52" s="11"/>
    </row>
    <row r="53" spans="1:18" ht="15" customHeight="1" x14ac:dyDescent="0.2">
      <c r="A53" s="18">
        <v>50</v>
      </c>
      <c r="B53" s="19" t="s">
        <v>228</v>
      </c>
      <c r="C53" s="19" t="s">
        <v>229</v>
      </c>
      <c r="D53" s="24" t="s">
        <v>222</v>
      </c>
      <c r="E53" s="13" t="s">
        <v>28</v>
      </c>
      <c r="F53" s="13" t="s">
        <v>28</v>
      </c>
      <c r="G53" s="14" t="s">
        <v>29</v>
      </c>
      <c r="H53" s="14" t="s">
        <v>29</v>
      </c>
      <c r="I53" s="14" t="s">
        <v>29</v>
      </c>
      <c r="J53" s="18">
        <v>3</v>
      </c>
      <c r="K53" s="15" t="s">
        <v>30</v>
      </c>
      <c r="L53" s="19" t="s">
        <v>230</v>
      </c>
      <c r="M53" s="19" t="s">
        <v>231</v>
      </c>
      <c r="N53" s="19" t="s">
        <v>232</v>
      </c>
      <c r="O53" s="16" t="s">
        <v>34</v>
      </c>
      <c r="P53" s="17"/>
      <c r="Q53" s="17"/>
      <c r="R53" s="19"/>
    </row>
    <row r="54" spans="1:18" ht="15" customHeight="1" x14ac:dyDescent="0.2">
      <c r="A54" s="10">
        <v>51</v>
      </c>
      <c r="B54" s="11" t="s">
        <v>61</v>
      </c>
      <c r="C54" s="11" t="s">
        <v>62</v>
      </c>
      <c r="D54" s="24" t="s">
        <v>222</v>
      </c>
      <c r="E54" s="14" t="s">
        <v>29</v>
      </c>
      <c r="F54" s="14" t="s">
        <v>29</v>
      </c>
      <c r="G54" s="14" t="s">
        <v>29</v>
      </c>
      <c r="H54" s="14" t="s">
        <v>29</v>
      </c>
      <c r="I54" s="14" t="s">
        <v>29</v>
      </c>
      <c r="J54" s="10">
        <v>5</v>
      </c>
      <c r="K54" s="15" t="s">
        <v>30</v>
      </c>
      <c r="L54" s="11" t="s">
        <v>63</v>
      </c>
      <c r="M54" s="11"/>
      <c r="N54" s="11" t="s">
        <v>64</v>
      </c>
      <c r="O54" s="16" t="s">
        <v>34</v>
      </c>
      <c r="P54" s="17"/>
      <c r="Q54" s="17"/>
      <c r="R54" s="11"/>
    </row>
    <row r="55" spans="1:18" ht="15" customHeight="1" x14ac:dyDescent="0.2">
      <c r="A55" s="18">
        <v>52</v>
      </c>
      <c r="B55" s="19" t="s">
        <v>233</v>
      </c>
      <c r="C55" s="19" t="s">
        <v>193</v>
      </c>
      <c r="D55" s="24" t="s">
        <v>222</v>
      </c>
      <c r="E55" s="13" t="s">
        <v>28</v>
      </c>
      <c r="F55" s="13" t="s">
        <v>28</v>
      </c>
      <c r="G55" s="14" t="s">
        <v>29</v>
      </c>
      <c r="H55" s="14" t="s">
        <v>29</v>
      </c>
      <c r="I55" s="13" t="s">
        <v>28</v>
      </c>
      <c r="J55" s="18">
        <v>2</v>
      </c>
      <c r="K55" s="21" t="s">
        <v>95</v>
      </c>
      <c r="L55" s="19"/>
      <c r="M55" s="19"/>
      <c r="N55" s="19"/>
      <c r="O55" s="16" t="s">
        <v>34</v>
      </c>
      <c r="P55" s="17"/>
      <c r="Q55" s="17"/>
      <c r="R55" s="19"/>
    </row>
    <row r="56" spans="1:18" ht="15" customHeight="1" x14ac:dyDescent="0.2">
      <c r="A56" s="10">
        <v>53</v>
      </c>
      <c r="B56" s="11" t="s">
        <v>234</v>
      </c>
      <c r="C56" s="11" t="s">
        <v>235</v>
      </c>
      <c r="D56" s="24" t="s">
        <v>222</v>
      </c>
      <c r="E56" s="13" t="s">
        <v>28</v>
      </c>
      <c r="F56" s="13" t="s">
        <v>28</v>
      </c>
      <c r="G56" s="14" t="s">
        <v>29</v>
      </c>
      <c r="H56" s="13" t="s">
        <v>28</v>
      </c>
      <c r="I56" s="14" t="s">
        <v>29</v>
      </c>
      <c r="J56" s="10">
        <v>2</v>
      </c>
      <c r="K56" s="21" t="s">
        <v>95</v>
      </c>
      <c r="L56" s="11" t="s">
        <v>236</v>
      </c>
      <c r="M56" s="11" t="s">
        <v>237</v>
      </c>
      <c r="N56" s="11" t="s">
        <v>238</v>
      </c>
      <c r="O56" s="16" t="s">
        <v>34</v>
      </c>
      <c r="P56" s="17"/>
      <c r="Q56" s="17"/>
      <c r="R56" s="11"/>
    </row>
    <row r="57" spans="1:18" ht="15" customHeight="1" x14ac:dyDescent="0.2">
      <c r="A57" s="18">
        <v>54</v>
      </c>
      <c r="B57" s="19" t="s">
        <v>239</v>
      </c>
      <c r="C57" s="19" t="s">
        <v>240</v>
      </c>
      <c r="D57" s="24" t="s">
        <v>222</v>
      </c>
      <c r="E57" s="13" t="s">
        <v>28</v>
      </c>
      <c r="F57" s="13" t="s">
        <v>28</v>
      </c>
      <c r="G57" s="13" t="s">
        <v>28</v>
      </c>
      <c r="H57" s="13" t="s">
        <v>28</v>
      </c>
      <c r="I57" s="14" t="s">
        <v>29</v>
      </c>
      <c r="J57" s="18">
        <v>1</v>
      </c>
      <c r="K57" s="11" t="s">
        <v>52</v>
      </c>
      <c r="L57" s="19" t="s">
        <v>241</v>
      </c>
      <c r="M57" s="19" t="s">
        <v>242</v>
      </c>
      <c r="N57" s="19" t="s">
        <v>243</v>
      </c>
      <c r="O57" s="16" t="s">
        <v>34</v>
      </c>
      <c r="P57" s="17"/>
      <c r="Q57" s="17"/>
      <c r="R57" s="19"/>
    </row>
    <row r="58" spans="1:18" ht="15" customHeight="1" x14ac:dyDescent="0.2">
      <c r="A58" s="10">
        <v>55</v>
      </c>
      <c r="B58" s="11" t="s">
        <v>244</v>
      </c>
      <c r="C58" s="11" t="s">
        <v>100</v>
      </c>
      <c r="D58" s="24" t="s">
        <v>222</v>
      </c>
      <c r="E58" s="13" t="s">
        <v>28</v>
      </c>
      <c r="F58" s="13" t="s">
        <v>28</v>
      </c>
      <c r="G58" s="13" t="s">
        <v>28</v>
      </c>
      <c r="H58" s="13" t="s">
        <v>28</v>
      </c>
      <c r="I58" s="14" t="s">
        <v>29</v>
      </c>
      <c r="J58" s="10">
        <v>1</v>
      </c>
      <c r="K58" s="11" t="s">
        <v>52</v>
      </c>
      <c r="L58" s="11" t="s">
        <v>245</v>
      </c>
      <c r="M58" s="11" t="s">
        <v>246</v>
      </c>
      <c r="N58" s="11" t="s">
        <v>247</v>
      </c>
      <c r="O58" s="16" t="s">
        <v>34</v>
      </c>
      <c r="P58" s="17"/>
      <c r="Q58" s="17"/>
      <c r="R58" s="11"/>
    </row>
    <row r="59" spans="1:18" ht="15" customHeight="1" x14ac:dyDescent="0.2">
      <c r="A59" s="18">
        <v>56</v>
      </c>
      <c r="B59" s="19" t="s">
        <v>248</v>
      </c>
      <c r="C59" s="19" t="s">
        <v>249</v>
      </c>
      <c r="D59" s="24" t="s">
        <v>222</v>
      </c>
      <c r="E59" s="13" t="s">
        <v>28</v>
      </c>
      <c r="F59" s="13" t="s">
        <v>28</v>
      </c>
      <c r="G59" s="13" t="s">
        <v>28</v>
      </c>
      <c r="H59" s="13" t="s">
        <v>28</v>
      </c>
      <c r="I59" s="14" t="s">
        <v>29</v>
      </c>
      <c r="J59" s="18">
        <v>1</v>
      </c>
      <c r="K59" s="11" t="s">
        <v>52</v>
      </c>
      <c r="L59" s="19" t="s">
        <v>250</v>
      </c>
      <c r="M59" s="19" t="s">
        <v>251</v>
      </c>
      <c r="N59" s="19" t="s">
        <v>252</v>
      </c>
      <c r="O59" s="16" t="s">
        <v>34</v>
      </c>
      <c r="P59" s="17"/>
      <c r="Q59" s="17"/>
      <c r="R59" s="19"/>
    </row>
    <row r="60" spans="1:18" ht="15" customHeight="1" x14ac:dyDescent="0.2">
      <c r="A60" s="10">
        <v>57</v>
      </c>
      <c r="B60" s="11" t="s">
        <v>253</v>
      </c>
      <c r="C60" s="11" t="s">
        <v>254</v>
      </c>
      <c r="D60" s="24" t="s">
        <v>222</v>
      </c>
      <c r="E60" s="13" t="s">
        <v>28</v>
      </c>
      <c r="F60" s="13" t="s">
        <v>28</v>
      </c>
      <c r="G60" s="13" t="s">
        <v>28</v>
      </c>
      <c r="H60" s="14" t="s">
        <v>29</v>
      </c>
      <c r="I60" s="13" t="s">
        <v>28</v>
      </c>
      <c r="J60" s="10">
        <v>1</v>
      </c>
      <c r="K60" s="11" t="s">
        <v>52</v>
      </c>
      <c r="L60" s="11"/>
      <c r="M60" s="11"/>
      <c r="N60" s="11"/>
      <c r="O60" s="16" t="s">
        <v>34</v>
      </c>
      <c r="P60" s="17"/>
      <c r="Q60" s="17"/>
      <c r="R60" s="11"/>
    </row>
    <row r="61" spans="1:18" ht="15" customHeight="1" x14ac:dyDescent="0.2">
      <c r="A61" s="18">
        <v>58</v>
      </c>
      <c r="B61" s="19" t="s">
        <v>255</v>
      </c>
      <c r="C61" s="19" t="s">
        <v>256</v>
      </c>
      <c r="D61" s="24" t="s">
        <v>222</v>
      </c>
      <c r="E61" s="13" t="s">
        <v>28</v>
      </c>
      <c r="F61" s="13" t="s">
        <v>28</v>
      </c>
      <c r="G61" s="13" t="s">
        <v>28</v>
      </c>
      <c r="H61" s="14" t="s">
        <v>29</v>
      </c>
      <c r="I61" s="13" t="s">
        <v>28</v>
      </c>
      <c r="J61" s="18">
        <v>1</v>
      </c>
      <c r="K61" s="11" t="s">
        <v>52</v>
      </c>
      <c r="L61" s="19"/>
      <c r="M61" s="19"/>
      <c r="N61" s="19"/>
      <c r="O61" s="16" t="s">
        <v>34</v>
      </c>
      <c r="P61" s="17"/>
      <c r="Q61" s="17"/>
      <c r="R61" s="19"/>
    </row>
    <row r="62" spans="1:18" ht="15" customHeight="1" x14ac:dyDescent="0.2">
      <c r="A62" s="10">
        <v>59</v>
      </c>
      <c r="B62" s="11" t="s">
        <v>257</v>
      </c>
      <c r="C62" s="11" t="s">
        <v>258</v>
      </c>
      <c r="D62" s="24" t="s">
        <v>222</v>
      </c>
      <c r="E62" s="13" t="s">
        <v>28</v>
      </c>
      <c r="F62" s="13" t="s">
        <v>28</v>
      </c>
      <c r="G62" s="13" t="s">
        <v>28</v>
      </c>
      <c r="H62" s="14" t="s">
        <v>29</v>
      </c>
      <c r="I62" s="13" t="s">
        <v>28</v>
      </c>
      <c r="J62" s="10">
        <v>1</v>
      </c>
      <c r="K62" s="11" t="s">
        <v>52</v>
      </c>
      <c r="L62" s="11"/>
      <c r="M62" s="11"/>
      <c r="N62" s="11"/>
      <c r="O62" s="16" t="s">
        <v>34</v>
      </c>
      <c r="P62" s="17"/>
      <c r="Q62" s="17"/>
      <c r="R62" s="11"/>
    </row>
    <row r="63" spans="1:18" ht="15" customHeight="1" x14ac:dyDescent="0.2">
      <c r="A63" s="18">
        <v>60</v>
      </c>
      <c r="B63" s="19" t="s">
        <v>259</v>
      </c>
      <c r="C63" s="19" t="s">
        <v>260</v>
      </c>
      <c r="D63" s="24" t="s">
        <v>222</v>
      </c>
      <c r="E63" s="13" t="s">
        <v>28</v>
      </c>
      <c r="F63" s="13" t="s">
        <v>28</v>
      </c>
      <c r="G63" s="13" t="s">
        <v>28</v>
      </c>
      <c r="H63" s="14" t="s">
        <v>29</v>
      </c>
      <c r="I63" s="13" t="s">
        <v>28</v>
      </c>
      <c r="J63" s="18">
        <v>1</v>
      </c>
      <c r="K63" s="11" t="s">
        <v>52</v>
      </c>
      <c r="L63" s="19"/>
      <c r="M63" s="19"/>
      <c r="N63" s="19"/>
      <c r="O63" s="16" t="s">
        <v>34</v>
      </c>
      <c r="P63" s="17"/>
      <c r="Q63" s="17"/>
      <c r="R63" s="19"/>
    </row>
    <row r="64" spans="1:18" ht="15" customHeight="1" x14ac:dyDescent="0.2">
      <c r="A64" s="10">
        <v>61</v>
      </c>
      <c r="B64" s="11" t="s">
        <v>261</v>
      </c>
      <c r="C64" s="11" t="s">
        <v>26</v>
      </c>
      <c r="D64" s="24" t="s">
        <v>222</v>
      </c>
      <c r="E64" s="13" t="s">
        <v>28</v>
      </c>
      <c r="F64" s="13" t="s">
        <v>28</v>
      </c>
      <c r="G64" s="13" t="s">
        <v>28</v>
      </c>
      <c r="H64" s="14" t="s">
        <v>29</v>
      </c>
      <c r="I64" s="13" t="s">
        <v>28</v>
      </c>
      <c r="J64" s="10">
        <v>1</v>
      </c>
      <c r="K64" s="11" t="s">
        <v>52</v>
      </c>
      <c r="L64" s="11"/>
      <c r="M64" s="11"/>
      <c r="N64" s="11"/>
      <c r="O64" s="16" t="s">
        <v>34</v>
      </c>
      <c r="P64" s="17"/>
      <c r="Q64" s="17"/>
      <c r="R64" s="11"/>
    </row>
    <row r="65" spans="1:18" ht="15" customHeight="1" x14ac:dyDescent="0.2">
      <c r="A65" s="18">
        <v>62</v>
      </c>
      <c r="B65" s="19" t="s">
        <v>262</v>
      </c>
      <c r="C65" s="19" t="s">
        <v>36</v>
      </c>
      <c r="D65" s="24" t="s">
        <v>222</v>
      </c>
      <c r="E65" s="13" t="s">
        <v>28</v>
      </c>
      <c r="F65" s="13" t="s">
        <v>28</v>
      </c>
      <c r="G65" s="13" t="s">
        <v>28</v>
      </c>
      <c r="H65" s="14" t="s">
        <v>29</v>
      </c>
      <c r="I65" s="13" t="s">
        <v>28</v>
      </c>
      <c r="J65" s="18">
        <v>1</v>
      </c>
      <c r="K65" s="11" t="s">
        <v>52</v>
      </c>
      <c r="L65" s="19"/>
      <c r="M65" s="19"/>
      <c r="N65" s="19"/>
      <c r="O65" s="16" t="s">
        <v>34</v>
      </c>
      <c r="P65" s="17"/>
      <c r="Q65" s="17"/>
      <c r="R65" s="19"/>
    </row>
    <row r="66" spans="1:18" ht="15" customHeight="1" x14ac:dyDescent="0.2">
      <c r="A66" s="10">
        <v>63</v>
      </c>
      <c r="B66" s="11" t="s">
        <v>263</v>
      </c>
      <c r="C66" s="11" t="s">
        <v>264</v>
      </c>
      <c r="D66" s="24" t="s">
        <v>222</v>
      </c>
      <c r="E66" s="14" t="s">
        <v>29</v>
      </c>
      <c r="F66" s="14" t="s">
        <v>29</v>
      </c>
      <c r="G66" s="13" t="s">
        <v>28</v>
      </c>
      <c r="H66" s="13" t="s">
        <v>28</v>
      </c>
      <c r="I66" s="13" t="s">
        <v>28</v>
      </c>
      <c r="J66" s="10">
        <v>2</v>
      </c>
      <c r="K66" s="21" t="s">
        <v>95</v>
      </c>
      <c r="L66" s="11" t="s">
        <v>265</v>
      </c>
      <c r="M66" s="11" t="s">
        <v>266</v>
      </c>
      <c r="N66" s="11" t="s">
        <v>267</v>
      </c>
      <c r="O66" s="16" t="s">
        <v>34</v>
      </c>
      <c r="P66" s="17"/>
      <c r="Q66" s="17"/>
      <c r="R66" s="11"/>
    </row>
    <row r="67" spans="1:18" ht="15" customHeight="1" x14ac:dyDescent="0.2">
      <c r="A67" s="18">
        <v>64</v>
      </c>
      <c r="B67" s="19" t="s">
        <v>268</v>
      </c>
      <c r="C67" s="19" t="s">
        <v>81</v>
      </c>
      <c r="D67" s="24" t="s">
        <v>222</v>
      </c>
      <c r="E67" s="13" t="s">
        <v>28</v>
      </c>
      <c r="F67" s="14" t="s">
        <v>29</v>
      </c>
      <c r="G67" s="13" t="s">
        <v>28</v>
      </c>
      <c r="H67" s="13" t="s">
        <v>28</v>
      </c>
      <c r="I67" s="13" t="s">
        <v>28</v>
      </c>
      <c r="J67" s="18">
        <v>1</v>
      </c>
      <c r="K67" s="11" t="s">
        <v>52</v>
      </c>
      <c r="L67" s="19" t="s">
        <v>269</v>
      </c>
      <c r="M67" s="19" t="s">
        <v>270</v>
      </c>
      <c r="N67" s="19" t="s">
        <v>271</v>
      </c>
      <c r="O67" s="16" t="s">
        <v>34</v>
      </c>
      <c r="P67" s="17"/>
      <c r="Q67" s="17"/>
      <c r="R67" s="19"/>
    </row>
    <row r="68" spans="1:18" ht="15" customHeight="1" x14ac:dyDescent="0.2">
      <c r="A68" s="10">
        <v>65</v>
      </c>
      <c r="B68" s="11" t="s">
        <v>272</v>
      </c>
      <c r="C68" s="11" t="s">
        <v>57</v>
      </c>
      <c r="D68" s="24" t="s">
        <v>222</v>
      </c>
      <c r="E68" s="13" t="s">
        <v>28</v>
      </c>
      <c r="F68" s="14" t="s">
        <v>29</v>
      </c>
      <c r="G68" s="13" t="s">
        <v>28</v>
      </c>
      <c r="H68" s="13" t="s">
        <v>28</v>
      </c>
      <c r="I68" s="13" t="s">
        <v>28</v>
      </c>
      <c r="J68" s="10">
        <v>1</v>
      </c>
      <c r="K68" s="11" t="s">
        <v>52</v>
      </c>
      <c r="L68" s="11" t="s">
        <v>273</v>
      </c>
      <c r="M68" s="11" t="s">
        <v>274</v>
      </c>
      <c r="N68" s="11" t="s">
        <v>275</v>
      </c>
      <c r="O68" s="16" t="s">
        <v>34</v>
      </c>
      <c r="P68" s="17"/>
      <c r="Q68" s="17"/>
      <c r="R68" s="11"/>
    </row>
    <row r="69" spans="1:18" ht="15" customHeight="1" x14ac:dyDescent="0.2">
      <c r="A69" s="18">
        <v>66</v>
      </c>
      <c r="B69" s="19" t="s">
        <v>276</v>
      </c>
      <c r="C69" s="19" t="s">
        <v>277</v>
      </c>
      <c r="D69" s="24" t="s">
        <v>222</v>
      </c>
      <c r="E69" s="13" t="s">
        <v>28</v>
      </c>
      <c r="F69" s="14" t="s">
        <v>29</v>
      </c>
      <c r="G69" s="13" t="s">
        <v>28</v>
      </c>
      <c r="H69" s="13" t="s">
        <v>28</v>
      </c>
      <c r="I69" s="13" t="s">
        <v>28</v>
      </c>
      <c r="J69" s="18">
        <v>1</v>
      </c>
      <c r="K69" s="11" t="s">
        <v>52</v>
      </c>
      <c r="L69" s="19" t="s">
        <v>278</v>
      </c>
      <c r="M69" s="19" t="s">
        <v>279</v>
      </c>
      <c r="N69" s="19" t="s">
        <v>280</v>
      </c>
      <c r="O69" s="16" t="s">
        <v>34</v>
      </c>
      <c r="P69" s="17"/>
      <c r="Q69" s="17"/>
      <c r="R69" s="19"/>
    </row>
    <row r="70" spans="1:18" ht="15" customHeight="1" x14ac:dyDescent="0.2">
      <c r="A70" s="10">
        <v>67</v>
      </c>
      <c r="B70" s="11" t="s">
        <v>281</v>
      </c>
      <c r="C70" s="11" t="s">
        <v>145</v>
      </c>
      <c r="D70" s="24" t="s">
        <v>222</v>
      </c>
      <c r="E70" s="13" t="s">
        <v>28</v>
      </c>
      <c r="F70" s="13" t="s">
        <v>28</v>
      </c>
      <c r="G70" s="14" t="s">
        <v>29</v>
      </c>
      <c r="H70" s="13" t="s">
        <v>28</v>
      </c>
      <c r="I70" s="13" t="s">
        <v>28</v>
      </c>
      <c r="J70" s="10">
        <v>1</v>
      </c>
      <c r="K70" s="11" t="s">
        <v>52</v>
      </c>
      <c r="L70" s="11"/>
      <c r="M70" s="11"/>
      <c r="N70" s="11"/>
      <c r="O70" s="16" t="s">
        <v>34</v>
      </c>
      <c r="P70" s="17"/>
      <c r="Q70" s="17"/>
      <c r="R70" s="11"/>
    </row>
    <row r="71" spans="1:18" ht="15" customHeight="1" x14ac:dyDescent="0.2">
      <c r="A71" s="18">
        <v>68</v>
      </c>
      <c r="B71" s="19" t="s">
        <v>282</v>
      </c>
      <c r="C71" s="19" t="s">
        <v>283</v>
      </c>
      <c r="D71" s="25" t="s">
        <v>284</v>
      </c>
      <c r="E71" s="13" t="s">
        <v>28</v>
      </c>
      <c r="F71" s="14" t="s">
        <v>29</v>
      </c>
      <c r="G71" s="13" t="s">
        <v>28</v>
      </c>
      <c r="H71" s="13" t="s">
        <v>28</v>
      </c>
      <c r="I71" s="13" t="s">
        <v>28</v>
      </c>
      <c r="J71" s="18">
        <v>1</v>
      </c>
      <c r="K71" s="11" t="s">
        <v>52</v>
      </c>
      <c r="L71" s="19" t="s">
        <v>285</v>
      </c>
      <c r="M71" s="19" t="s">
        <v>286</v>
      </c>
      <c r="N71" s="19" t="s">
        <v>287</v>
      </c>
      <c r="O71" s="16" t="s">
        <v>34</v>
      </c>
      <c r="P71" s="17"/>
      <c r="Q71" s="17"/>
      <c r="R71" s="19"/>
    </row>
    <row r="72" spans="1:18" ht="15" customHeight="1" x14ac:dyDescent="0.2">
      <c r="A72" s="10">
        <v>69</v>
      </c>
      <c r="B72" s="11" t="s">
        <v>288</v>
      </c>
      <c r="C72" s="11" t="s">
        <v>289</v>
      </c>
      <c r="D72" s="25" t="s">
        <v>284</v>
      </c>
      <c r="E72" s="14" t="s">
        <v>29</v>
      </c>
      <c r="F72" s="14" t="s">
        <v>29</v>
      </c>
      <c r="G72" s="13" t="s">
        <v>28</v>
      </c>
      <c r="H72" s="13" t="s">
        <v>28</v>
      </c>
      <c r="I72" s="13" t="s">
        <v>28</v>
      </c>
      <c r="J72" s="10">
        <v>2</v>
      </c>
      <c r="K72" s="21" t="s">
        <v>95</v>
      </c>
      <c r="L72" s="11" t="s">
        <v>290</v>
      </c>
      <c r="M72" s="11" t="s">
        <v>291</v>
      </c>
      <c r="N72" s="11" t="s">
        <v>292</v>
      </c>
      <c r="O72" s="16" t="s">
        <v>34</v>
      </c>
      <c r="P72" s="17"/>
      <c r="Q72" s="17"/>
      <c r="R72" s="11"/>
    </row>
    <row r="73" spans="1:18" ht="15" customHeight="1" x14ac:dyDescent="0.2">
      <c r="A73" s="18">
        <v>70</v>
      </c>
      <c r="B73" s="19" t="s">
        <v>293</v>
      </c>
      <c r="C73" s="19" t="s">
        <v>294</v>
      </c>
      <c r="D73" s="25" t="s">
        <v>284</v>
      </c>
      <c r="E73" s="14" t="s">
        <v>29</v>
      </c>
      <c r="F73" s="13" t="s">
        <v>28</v>
      </c>
      <c r="G73" s="13" t="s">
        <v>28</v>
      </c>
      <c r="H73" s="13" t="s">
        <v>28</v>
      </c>
      <c r="I73" s="13" t="s">
        <v>28</v>
      </c>
      <c r="J73" s="18">
        <v>1</v>
      </c>
      <c r="K73" s="11" t="s">
        <v>52</v>
      </c>
      <c r="L73" s="19"/>
      <c r="M73" s="19"/>
      <c r="N73" s="19" t="s">
        <v>295</v>
      </c>
      <c r="O73" s="16" t="s">
        <v>34</v>
      </c>
      <c r="P73" s="17"/>
      <c r="Q73" s="17"/>
      <c r="R73" s="19"/>
    </row>
    <row r="74" spans="1:18" ht="15" customHeight="1" x14ac:dyDescent="0.2">
      <c r="A74" s="10">
        <v>71</v>
      </c>
      <c r="B74" s="11" t="s">
        <v>296</v>
      </c>
      <c r="C74" s="11" t="s">
        <v>297</v>
      </c>
      <c r="D74" s="25" t="s">
        <v>284</v>
      </c>
      <c r="E74" s="14" t="s">
        <v>29</v>
      </c>
      <c r="F74" s="13" t="s">
        <v>28</v>
      </c>
      <c r="G74" s="13" t="s">
        <v>28</v>
      </c>
      <c r="H74" s="13" t="s">
        <v>28</v>
      </c>
      <c r="I74" s="13" t="s">
        <v>28</v>
      </c>
      <c r="J74" s="10">
        <v>1</v>
      </c>
      <c r="K74" s="11" t="s">
        <v>52</v>
      </c>
      <c r="L74" s="11"/>
      <c r="M74" s="11"/>
      <c r="N74" s="11"/>
      <c r="O74" s="16" t="s">
        <v>34</v>
      </c>
      <c r="P74" s="17"/>
      <c r="Q74" s="17"/>
      <c r="R74" s="11"/>
    </row>
    <row r="75" spans="1:18" ht="15" customHeight="1" x14ac:dyDescent="0.2">
      <c r="A75" s="18">
        <v>72</v>
      </c>
      <c r="B75" s="19" t="s">
        <v>298</v>
      </c>
      <c r="C75" s="19" t="s">
        <v>299</v>
      </c>
      <c r="D75" s="25" t="s">
        <v>284</v>
      </c>
      <c r="E75" s="13" t="s">
        <v>28</v>
      </c>
      <c r="F75" s="13" t="s">
        <v>28</v>
      </c>
      <c r="G75" s="13" t="s">
        <v>28</v>
      </c>
      <c r="H75" s="13" t="s">
        <v>28</v>
      </c>
      <c r="I75" s="13" t="s">
        <v>28</v>
      </c>
      <c r="J75" s="18">
        <v>0</v>
      </c>
      <c r="K75" s="11" t="s">
        <v>52</v>
      </c>
      <c r="L75" s="19"/>
      <c r="M75" s="19"/>
      <c r="N75" s="19"/>
      <c r="O75" s="16" t="s">
        <v>34</v>
      </c>
      <c r="P75" s="17"/>
      <c r="Q75" s="17"/>
      <c r="R75" s="19"/>
    </row>
    <row r="76" spans="1:18" x14ac:dyDescent="0.2">
      <c r="A76" s="18">
        <f>A75+1</f>
        <v>73</v>
      </c>
      <c r="B76" s="19" t="str">
        <f>[1]Feuil1!B4</f>
        <v>Ass. Club Rugby Manu Ura</v>
      </c>
      <c r="C76" s="19" t="s">
        <v>474</v>
      </c>
      <c r="D76" s="66" t="s">
        <v>122</v>
      </c>
      <c r="E76" s="13" t="s">
        <v>28</v>
      </c>
      <c r="F76" s="13" t="s">
        <v>28</v>
      </c>
      <c r="G76" s="13" t="s">
        <v>28</v>
      </c>
      <c r="H76" s="13" t="s">
        <v>28</v>
      </c>
      <c r="I76" s="13" t="s">
        <v>28</v>
      </c>
      <c r="J76" s="18">
        <v>0</v>
      </c>
      <c r="K76" s="11" t="s">
        <v>52</v>
      </c>
      <c r="L76" s="19"/>
      <c r="M76" s="19" t="str">
        <f>[1]Feuil1!E4</f>
        <v>87 76 11 31</v>
      </c>
      <c r="N76" s="19" t="str">
        <f>[1]Feuil1!F4</f>
        <v>tapu.teina0210@gmail.com</v>
      </c>
      <c r="O76" s="16" t="s">
        <v>34</v>
      </c>
      <c r="P76" s="17"/>
      <c r="Q76" s="17"/>
      <c r="R76" s="19"/>
    </row>
    <row r="77" spans="1:18" x14ac:dyDescent="0.2">
      <c r="A77" s="18">
        <f>A76+1</f>
        <v>74</v>
      </c>
      <c r="B77" s="19" t="str">
        <f>[1]Feuil1!B5</f>
        <v>Ecole de danse Moeata Ori Tahiti</v>
      </c>
      <c r="C77" s="19" t="s">
        <v>475</v>
      </c>
      <c r="D77" s="24" t="s">
        <v>222</v>
      </c>
      <c r="E77" s="13" t="s">
        <v>28</v>
      </c>
      <c r="F77" s="13" t="s">
        <v>28</v>
      </c>
      <c r="G77" s="13" t="s">
        <v>28</v>
      </c>
      <c r="H77" s="13" t="s">
        <v>28</v>
      </c>
      <c r="I77" s="13" t="s">
        <v>28</v>
      </c>
      <c r="J77" s="18">
        <v>0</v>
      </c>
      <c r="K77" s="11" t="s">
        <v>52</v>
      </c>
      <c r="L77" s="19"/>
      <c r="M77" s="63" t="s">
        <v>486</v>
      </c>
      <c r="N77" s="19" t="str">
        <f>[1]Feuil1!F5</f>
        <v>wickylauglin@gmail.com</v>
      </c>
      <c r="O77" s="16" t="s">
        <v>34</v>
      </c>
      <c r="P77" s="17"/>
      <c r="Q77" s="17"/>
      <c r="R77" s="19"/>
    </row>
    <row r="78" spans="1:18" x14ac:dyDescent="0.2">
      <c r="A78" s="18">
        <f t="shared" ref="A78:A104" si="0">A77+1</f>
        <v>75</v>
      </c>
      <c r="B78" s="11" t="str">
        <f>[1]Feuil1!B6</f>
        <v xml:space="preserve">ADAC - Ass. De théâtre à la presqu'île </v>
      </c>
      <c r="C78" s="11" t="s">
        <v>476</v>
      </c>
      <c r="D78" s="68" t="s">
        <v>483</v>
      </c>
      <c r="E78" s="13" t="s">
        <v>28</v>
      </c>
      <c r="F78" s="13" t="s">
        <v>28</v>
      </c>
      <c r="G78" s="13" t="s">
        <v>28</v>
      </c>
      <c r="H78" s="13" t="s">
        <v>28</v>
      </c>
      <c r="I78" s="13" t="s">
        <v>28</v>
      </c>
      <c r="J78" s="18">
        <v>0</v>
      </c>
      <c r="K78" s="11" t="s">
        <v>52</v>
      </c>
      <c r="L78" s="11"/>
      <c r="M78" s="11" t="str">
        <f>[1]Feuil1!E6</f>
        <v>87 76 0 20</v>
      </c>
      <c r="N78" s="11" t="str">
        <f>[1]Feuil1!F6</f>
        <v>assodesapprentiscomediens@gmail.com</v>
      </c>
      <c r="O78" s="16" t="s">
        <v>34</v>
      </c>
      <c r="P78" s="17"/>
      <c r="Q78" s="17"/>
      <c r="R78" s="11"/>
    </row>
    <row r="79" spans="1:18" x14ac:dyDescent="0.2">
      <c r="A79" s="18">
        <f t="shared" si="0"/>
        <v>76</v>
      </c>
      <c r="B79" s="19" t="str">
        <f>[1]Feuil1!B7</f>
        <v xml:space="preserve">Escrime Arue </v>
      </c>
      <c r="C79" s="19" t="s">
        <v>477</v>
      </c>
      <c r="D79" s="68" t="s">
        <v>483</v>
      </c>
      <c r="E79" s="13" t="s">
        <v>28</v>
      </c>
      <c r="F79" s="13" t="s">
        <v>28</v>
      </c>
      <c r="G79" s="13" t="s">
        <v>28</v>
      </c>
      <c r="H79" s="13" t="s">
        <v>28</v>
      </c>
      <c r="I79" s="13" t="s">
        <v>28</v>
      </c>
      <c r="J79" s="18">
        <v>0</v>
      </c>
      <c r="K79" s="11" t="s">
        <v>52</v>
      </c>
      <c r="L79" s="19"/>
      <c r="M79" s="19" t="str">
        <f>[1]Feuil1!E7</f>
        <v>87 78 40 00</v>
      </c>
      <c r="N79" s="19" t="str">
        <f>[1]Feuil1!F7</f>
        <v xml:space="preserve">jeanmarcuneo@gmail.com </v>
      </c>
      <c r="O79" s="16" t="s">
        <v>34</v>
      </c>
      <c r="P79" s="17"/>
      <c r="Q79" s="17"/>
      <c r="R79" s="19"/>
    </row>
    <row r="80" spans="1:18" x14ac:dyDescent="0.2">
      <c r="A80" s="18">
        <f t="shared" si="0"/>
        <v>77</v>
      </c>
      <c r="B80" s="11" t="str">
        <f>[1]Feuil1!B8</f>
        <v xml:space="preserve">Fédération polynésien des sports adapté et handisport </v>
      </c>
      <c r="C80" s="11" t="s">
        <v>478</v>
      </c>
      <c r="D80" s="68" t="s">
        <v>483</v>
      </c>
      <c r="E80" s="13" t="s">
        <v>28</v>
      </c>
      <c r="F80" s="13" t="s">
        <v>28</v>
      </c>
      <c r="G80" s="13" t="s">
        <v>28</v>
      </c>
      <c r="H80" s="13" t="s">
        <v>28</v>
      </c>
      <c r="I80" s="13" t="s">
        <v>28</v>
      </c>
      <c r="J80" s="18">
        <v>0</v>
      </c>
      <c r="K80" s="11" t="s">
        <v>52</v>
      </c>
      <c r="L80" s="11"/>
      <c r="M80" s="11" t="str">
        <f>[1]Feuil1!E8</f>
        <v xml:space="preserve">87 72 97 62 </v>
      </c>
      <c r="N80" s="11" t="str">
        <f>[1]Feuil1!F8</f>
        <v>vake.rh@hotmail.fr</v>
      </c>
      <c r="O80" s="16" t="s">
        <v>34</v>
      </c>
      <c r="P80" s="17"/>
      <c r="Q80" s="17"/>
      <c r="R80" s="11"/>
    </row>
    <row r="81" spans="1:18" x14ac:dyDescent="0.2">
      <c r="A81" s="18">
        <f t="shared" si="0"/>
        <v>78</v>
      </c>
      <c r="B81" s="19" t="str">
        <f>[1]Feuil1!B9</f>
        <v xml:space="preserve">Arearea surf adventures </v>
      </c>
      <c r="C81" s="19" t="s">
        <v>198</v>
      </c>
      <c r="D81" s="24" t="s">
        <v>222</v>
      </c>
      <c r="E81" s="13" t="s">
        <v>28</v>
      </c>
      <c r="F81" s="13" t="s">
        <v>28</v>
      </c>
      <c r="G81" s="13" t="s">
        <v>28</v>
      </c>
      <c r="H81" s="13" t="s">
        <v>28</v>
      </c>
      <c r="I81" s="13" t="s">
        <v>28</v>
      </c>
      <c r="J81" s="18">
        <v>0</v>
      </c>
      <c r="K81" s="11" t="s">
        <v>52</v>
      </c>
      <c r="L81" s="19"/>
      <c r="M81" s="19" t="str">
        <f>[1]Feuil1!E9</f>
        <v>89 51 15 13</v>
      </c>
      <c r="N81" s="19" t="str">
        <f>[1]Feuil1!F9</f>
        <v>evatara@hotmail.fr</v>
      </c>
      <c r="O81" s="16" t="s">
        <v>34</v>
      </c>
      <c r="P81" s="17"/>
      <c r="Q81" s="17"/>
      <c r="R81" s="19"/>
    </row>
    <row r="82" spans="1:18" x14ac:dyDescent="0.2">
      <c r="A82" s="18">
        <f t="shared" si="0"/>
        <v>79</v>
      </c>
      <c r="B82" s="11" t="str">
        <f>[1]Feuil1!B10</f>
        <v xml:space="preserve">Taiarapu Boxing Club </v>
      </c>
      <c r="C82" s="11" t="s">
        <v>57</v>
      </c>
      <c r="D82" s="67" t="s">
        <v>122</v>
      </c>
      <c r="E82" s="13" t="s">
        <v>28</v>
      </c>
      <c r="F82" s="13" t="s">
        <v>28</v>
      </c>
      <c r="G82" s="13" t="s">
        <v>28</v>
      </c>
      <c r="H82" s="13" t="s">
        <v>28</v>
      </c>
      <c r="I82" s="13" t="s">
        <v>28</v>
      </c>
      <c r="J82" s="18">
        <v>0</v>
      </c>
      <c r="K82" s="11" t="s">
        <v>52</v>
      </c>
      <c r="L82" s="11"/>
      <c r="M82" s="11" t="str">
        <f>[1]Feuil1!E10</f>
        <v>87 31 93 33</v>
      </c>
      <c r="N82" s="11" t="str">
        <f>[1]Feuil1!F10</f>
        <v>msvanina@live.fr</v>
      </c>
      <c r="O82" s="16" t="s">
        <v>34</v>
      </c>
      <c r="P82" s="17"/>
      <c r="Q82" s="17"/>
      <c r="R82" s="11"/>
    </row>
    <row r="83" spans="1:18" x14ac:dyDescent="0.2">
      <c r="A83" s="18">
        <f t="shared" si="0"/>
        <v>80</v>
      </c>
      <c r="B83" s="19" t="str">
        <f>[1]Feuil1!B11</f>
        <v>Atelier 203</v>
      </c>
      <c r="C83" s="19" t="s">
        <v>479</v>
      </c>
      <c r="D83" s="69" t="s">
        <v>484</v>
      </c>
      <c r="E83" s="13" t="s">
        <v>28</v>
      </c>
      <c r="F83" s="13" t="s">
        <v>28</v>
      </c>
      <c r="G83" s="13" t="s">
        <v>28</v>
      </c>
      <c r="H83" s="13" t="s">
        <v>28</v>
      </c>
      <c r="I83" s="13" t="s">
        <v>28</v>
      </c>
      <c r="J83" s="18">
        <v>0</v>
      </c>
      <c r="K83" s="11" t="s">
        <v>52</v>
      </c>
      <c r="L83" s="19"/>
      <c r="M83" s="19" t="str">
        <f>[1]Feuil1!E11</f>
        <v xml:space="preserve">87 71 18 23 </v>
      </c>
      <c r="N83" s="19" t="str">
        <f>[1]Feuil1!F11</f>
        <v>contact@atelier203.com</v>
      </c>
      <c r="O83" s="16" t="s">
        <v>34</v>
      </c>
      <c r="P83" s="17"/>
      <c r="Q83" s="17"/>
      <c r="R83" s="19"/>
    </row>
    <row r="84" spans="1:18" x14ac:dyDescent="0.2">
      <c r="A84" s="18">
        <f t="shared" si="0"/>
        <v>81</v>
      </c>
      <c r="B84" s="11" t="str">
        <f>[1]Feuil1!B12</f>
        <v xml:space="preserve">Ta'iara Pro </v>
      </c>
      <c r="C84" s="11" t="s">
        <v>260</v>
      </c>
      <c r="D84" s="24" t="s">
        <v>222</v>
      </c>
      <c r="E84" s="13" t="s">
        <v>28</v>
      </c>
      <c r="F84" s="13" t="s">
        <v>28</v>
      </c>
      <c r="G84" s="13" t="s">
        <v>28</v>
      </c>
      <c r="H84" s="13" t="s">
        <v>28</v>
      </c>
      <c r="I84" s="13" t="s">
        <v>28</v>
      </c>
      <c r="J84" s="18">
        <v>0</v>
      </c>
      <c r="K84" s="11" t="s">
        <v>52</v>
      </c>
      <c r="L84" s="11"/>
      <c r="M84" s="11" t="str">
        <f>[1]Feuil1!E12</f>
        <v>87 70 52 63</v>
      </c>
      <c r="N84" s="11" t="str">
        <f>[1]Feuil1!F12</f>
        <v>contact@taiara.net</v>
      </c>
      <c r="O84" s="16" t="s">
        <v>34</v>
      </c>
      <c r="P84" s="17"/>
      <c r="Q84" s="17"/>
      <c r="R84" s="11"/>
    </row>
    <row r="85" spans="1:18" x14ac:dyDescent="0.2">
      <c r="A85" s="18">
        <f t="shared" si="0"/>
        <v>82</v>
      </c>
      <c r="B85" s="19" t="str">
        <f>[1]Feuil1!B13</f>
        <v xml:space="preserve">Tahia - Soutien Scolaire </v>
      </c>
      <c r="C85" s="19" t="s">
        <v>480</v>
      </c>
      <c r="D85" s="68" t="s">
        <v>483</v>
      </c>
      <c r="E85" s="13" t="s">
        <v>28</v>
      </c>
      <c r="F85" s="13" t="s">
        <v>28</v>
      </c>
      <c r="G85" s="13" t="s">
        <v>28</v>
      </c>
      <c r="H85" s="13" t="s">
        <v>28</v>
      </c>
      <c r="I85" s="13" t="s">
        <v>28</v>
      </c>
      <c r="J85" s="18">
        <v>0</v>
      </c>
      <c r="K85" s="11" t="s">
        <v>52</v>
      </c>
      <c r="L85" s="19"/>
      <c r="M85" s="19" t="str">
        <f>[1]Feuil1!E13</f>
        <v>87 72 33 47</v>
      </c>
      <c r="N85" s="19" t="str">
        <f>[1]Feuil1!F13</f>
        <v xml:space="preserve">tahiad07@yahoo.fr </v>
      </c>
      <c r="O85" s="16" t="s">
        <v>34</v>
      </c>
      <c r="P85" s="17"/>
      <c r="Q85" s="17"/>
      <c r="R85" s="19"/>
    </row>
    <row r="86" spans="1:18" x14ac:dyDescent="0.2">
      <c r="A86" s="18">
        <f t="shared" si="0"/>
        <v>83</v>
      </c>
      <c r="B86" s="11" t="str">
        <f>[1]Feuil1!B14</f>
        <v>Clow Nani</v>
      </c>
      <c r="C86" s="11" t="s">
        <v>481</v>
      </c>
      <c r="D86" s="68" t="s">
        <v>483</v>
      </c>
      <c r="E86" s="13" t="s">
        <v>28</v>
      </c>
      <c r="F86" s="13" t="s">
        <v>28</v>
      </c>
      <c r="G86" s="13" t="s">
        <v>28</v>
      </c>
      <c r="H86" s="13" t="s">
        <v>28</v>
      </c>
      <c r="I86" s="13" t="s">
        <v>28</v>
      </c>
      <c r="J86" s="18">
        <v>0</v>
      </c>
      <c r="K86" s="11" t="s">
        <v>52</v>
      </c>
      <c r="L86" s="11"/>
      <c r="M86" s="11" t="str">
        <f>[1]Feuil1!E14</f>
        <v>87 73 01 81</v>
      </c>
      <c r="N86" s="11" t="str">
        <f>[1]Feuil1!F14</f>
        <v>naniclown@hotmail.fr</v>
      </c>
      <c r="O86" s="16" t="s">
        <v>34</v>
      </c>
      <c r="P86" s="17"/>
      <c r="Q86" s="17"/>
      <c r="R86" s="11"/>
    </row>
    <row r="87" spans="1:18" x14ac:dyDescent="0.2">
      <c r="A87" s="18">
        <f t="shared" si="0"/>
        <v>84</v>
      </c>
      <c r="B87" s="19" t="str">
        <f>[1]Feuil1!B15</f>
        <v>EACC</v>
      </c>
      <c r="C87" s="19" t="s">
        <v>482</v>
      </c>
      <c r="D87" s="69" t="s">
        <v>484</v>
      </c>
      <c r="E87" s="13" t="s">
        <v>28</v>
      </c>
      <c r="F87" s="13" t="s">
        <v>28</v>
      </c>
      <c r="G87" s="13" t="s">
        <v>28</v>
      </c>
      <c r="H87" s="13" t="s">
        <v>28</v>
      </c>
      <c r="I87" s="13" t="s">
        <v>28</v>
      </c>
      <c r="J87" s="18">
        <v>0</v>
      </c>
      <c r="K87" s="11" t="s">
        <v>52</v>
      </c>
      <c r="L87" s="19"/>
      <c r="M87" s="19" t="str">
        <f>[1]Feuil1!E15</f>
        <v xml:space="preserve">87 76 09 20 </v>
      </c>
      <c r="N87" s="19" t="str">
        <f>[1]Feuil1!F15</f>
        <v>tac.comediemusic@gmail.com</v>
      </c>
      <c r="O87" s="16" t="s">
        <v>34</v>
      </c>
      <c r="P87" s="17"/>
      <c r="Q87" s="17"/>
      <c r="R87" s="19"/>
    </row>
    <row r="88" spans="1:18" x14ac:dyDescent="0.2">
      <c r="A88" s="18">
        <f t="shared" si="0"/>
        <v>85</v>
      </c>
      <c r="B88" s="19" t="str">
        <f>[1]Feuil1!B16</f>
        <v>L'eperon de Tahiti</v>
      </c>
      <c r="C88" s="63" t="s">
        <v>488</v>
      </c>
      <c r="D88" s="69" t="s">
        <v>484</v>
      </c>
      <c r="E88" s="13" t="s">
        <v>28</v>
      </c>
      <c r="F88" s="13" t="s">
        <v>28</v>
      </c>
      <c r="G88" s="13" t="s">
        <v>28</v>
      </c>
      <c r="H88" s="13" t="s">
        <v>28</v>
      </c>
      <c r="I88" s="13" t="s">
        <v>28</v>
      </c>
      <c r="J88" s="18">
        <v>0</v>
      </c>
      <c r="K88" s="11" t="s">
        <v>52</v>
      </c>
      <c r="L88" s="19"/>
      <c r="M88" s="19" t="str">
        <f>[1]Feuil1!E16</f>
        <v>87 71 20 10</v>
      </c>
      <c r="N88" s="19" t="str">
        <f>[1]Feuil1!F16</f>
        <v>raphael@eperondetahiti.com</v>
      </c>
      <c r="O88" s="16" t="s">
        <v>34</v>
      </c>
      <c r="P88" s="17"/>
      <c r="Q88" s="17"/>
      <c r="R88" s="19"/>
    </row>
    <row r="89" spans="1:18" x14ac:dyDescent="0.2">
      <c r="A89" s="62">
        <f t="shared" si="0"/>
        <v>86</v>
      </c>
      <c r="B89" s="11" t="str">
        <f>[1]Feuil1!B17</f>
        <v>Kids camp Moorea</v>
      </c>
      <c r="C89" s="64" t="s">
        <v>489</v>
      </c>
      <c r="D89" s="68" t="s">
        <v>483</v>
      </c>
      <c r="E89" s="13" t="s">
        <v>28</v>
      </c>
      <c r="F89" s="13" t="s">
        <v>28</v>
      </c>
      <c r="G89" s="13" t="s">
        <v>28</v>
      </c>
      <c r="H89" s="13" t="s">
        <v>28</v>
      </c>
      <c r="I89" s="13" t="s">
        <v>28</v>
      </c>
      <c r="J89" s="18">
        <v>0</v>
      </c>
      <c r="K89" s="11" t="s">
        <v>52</v>
      </c>
      <c r="L89" s="11"/>
      <c r="M89" s="11" t="str">
        <f>[1]Feuil1!E17</f>
        <v>89 79 90 74</v>
      </c>
      <c r="N89" s="11" t="str">
        <f>[1]Feuil1!F17</f>
        <v>kidscamptahiti@gmail.com</v>
      </c>
      <c r="O89" s="16" t="s">
        <v>34</v>
      </c>
      <c r="P89" s="17"/>
      <c r="Q89" s="17"/>
      <c r="R89" s="11"/>
    </row>
    <row r="90" spans="1:18" x14ac:dyDescent="0.2">
      <c r="A90" s="62">
        <f t="shared" si="0"/>
        <v>87</v>
      </c>
      <c r="B90" s="19" t="str">
        <f>[1]Feuil1!B18</f>
        <v>Sphère MMA ACADEMY</v>
      </c>
      <c r="C90" s="63" t="s">
        <v>490</v>
      </c>
      <c r="D90" s="24" t="s">
        <v>222</v>
      </c>
      <c r="E90" s="13" t="s">
        <v>28</v>
      </c>
      <c r="F90" s="13" t="s">
        <v>28</v>
      </c>
      <c r="G90" s="13" t="s">
        <v>28</v>
      </c>
      <c r="H90" s="13" t="s">
        <v>28</v>
      </c>
      <c r="I90" s="13" t="s">
        <v>28</v>
      </c>
      <c r="J90" s="18">
        <v>0</v>
      </c>
      <c r="K90" s="11" t="s">
        <v>52</v>
      </c>
      <c r="L90" s="19"/>
      <c r="M90" s="19" t="str">
        <f>[1]Feuil1!E18</f>
        <v>89 23 63 01</v>
      </c>
      <c r="N90" s="19" t="str">
        <f>[1]Feuil1!F18</f>
        <v>spheremma@gmail.com</v>
      </c>
      <c r="O90" s="16" t="s">
        <v>34</v>
      </c>
      <c r="P90" s="17"/>
      <c r="Q90" s="17"/>
      <c r="R90" s="19"/>
    </row>
    <row r="91" spans="1:18" x14ac:dyDescent="0.2">
      <c r="A91" s="62">
        <f t="shared" si="0"/>
        <v>88</v>
      </c>
      <c r="B91" s="11" t="str">
        <f>[1]Feuil1!B19</f>
        <v>Team riders presqu'île motors</v>
      </c>
      <c r="C91" s="64" t="s">
        <v>489</v>
      </c>
      <c r="D91" s="67" t="s">
        <v>122</v>
      </c>
      <c r="E91" s="13" t="s">
        <v>28</v>
      </c>
      <c r="F91" s="13" t="s">
        <v>28</v>
      </c>
      <c r="G91" s="13" t="s">
        <v>28</v>
      </c>
      <c r="H91" s="13" t="s">
        <v>28</v>
      </c>
      <c r="I91" s="13" t="s">
        <v>28</v>
      </c>
      <c r="J91" s="18">
        <v>0</v>
      </c>
      <c r="K91" s="11" t="s">
        <v>52</v>
      </c>
      <c r="L91" s="11"/>
      <c r="M91" s="11" t="str">
        <f>[1]Feuil1!E19</f>
        <v>89 28 57 04</v>
      </c>
      <c r="N91" s="11" t="str">
        <f>[1]Feuil1!F19</f>
        <v>leewingben@gmail.com</v>
      </c>
      <c r="O91" s="16" t="s">
        <v>34</v>
      </c>
      <c r="P91" s="17"/>
      <c r="Q91" s="17"/>
      <c r="R91" s="11"/>
    </row>
    <row r="92" spans="1:18" x14ac:dyDescent="0.2">
      <c r="A92" s="62">
        <f t="shared" si="0"/>
        <v>89</v>
      </c>
      <c r="B92" s="19" t="str">
        <f>[1]Feuil1!B20</f>
        <v xml:space="preserve">Tearo MMA </v>
      </c>
      <c r="C92" s="63" t="s">
        <v>487</v>
      </c>
      <c r="D92" s="69" t="s">
        <v>484</v>
      </c>
      <c r="E92" s="13" t="s">
        <v>28</v>
      </c>
      <c r="F92" s="13" t="s">
        <v>28</v>
      </c>
      <c r="G92" s="13" t="s">
        <v>28</v>
      </c>
      <c r="H92" s="13" t="s">
        <v>28</v>
      </c>
      <c r="I92" s="13" t="s">
        <v>28</v>
      </c>
      <c r="J92" s="18">
        <v>0</v>
      </c>
      <c r="K92" s="11" t="s">
        <v>52</v>
      </c>
      <c r="L92" s="19"/>
      <c r="M92" s="19" t="str">
        <f>[1]Feuil1!E20</f>
        <v>87 75 74 85</v>
      </c>
      <c r="N92" s="19" t="str">
        <f>[1]Feuil1!F20</f>
        <v>tearomma@gmail.com</v>
      </c>
      <c r="O92" s="16" t="s">
        <v>34</v>
      </c>
      <c r="P92" s="17"/>
      <c r="Q92" s="17"/>
      <c r="R92" s="19"/>
    </row>
    <row r="93" spans="1:18" x14ac:dyDescent="0.2">
      <c r="A93" s="62">
        <f t="shared" si="0"/>
        <v>90</v>
      </c>
      <c r="B93" s="11" t="str">
        <f>[1]Feuil1!B21</f>
        <v xml:space="preserve">Ecole de danse LEHIA </v>
      </c>
      <c r="C93" s="64" t="s">
        <v>487</v>
      </c>
      <c r="D93" s="65" t="s">
        <v>222</v>
      </c>
      <c r="E93" s="13" t="s">
        <v>28</v>
      </c>
      <c r="F93" s="13" t="s">
        <v>28</v>
      </c>
      <c r="G93" s="13" t="s">
        <v>28</v>
      </c>
      <c r="H93" s="13" t="s">
        <v>28</v>
      </c>
      <c r="I93" s="13" t="s">
        <v>28</v>
      </c>
      <c r="J93" s="18">
        <v>0</v>
      </c>
      <c r="K93" s="11" t="s">
        <v>52</v>
      </c>
      <c r="L93" s="11"/>
      <c r="M93" s="11" t="str">
        <f>[1]Feuil1!E21</f>
        <v xml:space="preserve">89 78 68 79 </v>
      </c>
      <c r="N93" s="11" t="str">
        <f>[1]Feuil1!F21</f>
        <v>cyrle37@gmail.com</v>
      </c>
      <c r="O93" s="16" t="s">
        <v>34</v>
      </c>
      <c r="P93" s="17"/>
      <c r="Q93" s="17"/>
      <c r="R93" s="11"/>
    </row>
    <row r="94" spans="1:18" x14ac:dyDescent="0.2">
      <c r="A94" s="62">
        <f t="shared" si="0"/>
        <v>91</v>
      </c>
      <c r="B94" s="19" t="str">
        <f>[1]Feuil1!B22</f>
        <v>Centre de danse TAMANU</v>
      </c>
      <c r="C94" s="19" t="s">
        <v>474</v>
      </c>
      <c r="D94" s="66" t="s">
        <v>122</v>
      </c>
      <c r="E94" s="13" t="s">
        <v>28</v>
      </c>
      <c r="F94" s="13" t="s">
        <v>28</v>
      </c>
      <c r="G94" s="13" t="s">
        <v>28</v>
      </c>
      <c r="H94" s="13" t="s">
        <v>28</v>
      </c>
      <c r="I94" s="13" t="s">
        <v>28</v>
      </c>
      <c r="J94" s="18">
        <v>0</v>
      </c>
      <c r="K94" s="11" t="s">
        <v>52</v>
      </c>
      <c r="L94" s="19"/>
      <c r="M94" s="19" t="str">
        <f>[1]Feuil1!E22</f>
        <v xml:space="preserve">87 70 79 84 </v>
      </c>
      <c r="N94" s="63" t="str">
        <f>[1]Feuil1!F22</f>
        <v>centrededanse.tamanu@gmail.com</v>
      </c>
      <c r="O94" s="16" t="s">
        <v>34</v>
      </c>
      <c r="P94" s="17"/>
      <c r="Q94" s="17"/>
      <c r="R94" s="19"/>
    </row>
    <row r="95" spans="1:18" x14ac:dyDescent="0.2">
      <c r="A95" s="62">
        <f t="shared" si="0"/>
        <v>92</v>
      </c>
      <c r="B95" s="63" t="s">
        <v>491</v>
      </c>
      <c r="C95" s="63" t="s">
        <v>492</v>
      </c>
      <c r="D95" s="70" t="s">
        <v>483</v>
      </c>
      <c r="E95" s="13"/>
      <c r="F95" s="13"/>
      <c r="G95" s="13"/>
      <c r="H95" s="13"/>
      <c r="I95" s="13"/>
      <c r="J95" s="18">
        <v>0</v>
      </c>
      <c r="K95" s="11" t="s">
        <v>52</v>
      </c>
      <c r="L95" s="19"/>
      <c r="M95" s="63" t="s">
        <v>493</v>
      </c>
      <c r="N95" s="71" t="s">
        <v>494</v>
      </c>
      <c r="O95" s="16" t="s">
        <v>34</v>
      </c>
      <c r="P95" s="17"/>
      <c r="Q95" s="17"/>
      <c r="R95" s="19"/>
    </row>
    <row r="96" spans="1:18" x14ac:dyDescent="0.2">
      <c r="A96" s="62">
        <f t="shared" si="0"/>
        <v>93</v>
      </c>
      <c r="B96" s="64" t="s">
        <v>495</v>
      </c>
      <c r="C96" s="64" t="s">
        <v>496</v>
      </c>
      <c r="D96" s="69" t="s">
        <v>484</v>
      </c>
      <c r="E96" s="13"/>
      <c r="F96" s="13"/>
      <c r="G96" s="13"/>
      <c r="H96" s="13"/>
      <c r="I96" s="13"/>
      <c r="J96" s="18">
        <v>0</v>
      </c>
      <c r="K96" s="11" t="s">
        <v>52</v>
      </c>
      <c r="L96" s="11"/>
      <c r="M96" s="64" t="s">
        <v>497</v>
      </c>
      <c r="N96" s="72" t="s">
        <v>498</v>
      </c>
      <c r="O96" s="16" t="s">
        <v>34</v>
      </c>
      <c r="P96" s="17"/>
      <c r="Q96" s="17"/>
      <c r="R96" s="11"/>
    </row>
    <row r="97" spans="1:18" x14ac:dyDescent="0.2">
      <c r="A97" s="62">
        <f t="shared" si="0"/>
        <v>94</v>
      </c>
      <c r="B97" s="63" t="s">
        <v>499</v>
      </c>
      <c r="C97" s="63" t="s">
        <v>36</v>
      </c>
      <c r="D97" s="66" t="s">
        <v>122</v>
      </c>
      <c r="E97" s="13"/>
      <c r="F97" s="13"/>
      <c r="G97" s="13"/>
      <c r="H97" s="13"/>
      <c r="I97" s="13"/>
      <c r="J97" s="18">
        <v>0</v>
      </c>
      <c r="K97" s="11" t="s">
        <v>52</v>
      </c>
      <c r="L97" s="19"/>
      <c r="M97" s="63" t="s">
        <v>500</v>
      </c>
      <c r="N97" s="71" t="s">
        <v>501</v>
      </c>
      <c r="O97" s="16" t="s">
        <v>34</v>
      </c>
      <c r="P97" s="17"/>
      <c r="Q97" s="17"/>
      <c r="R97" s="19"/>
    </row>
    <row r="98" spans="1:18" x14ac:dyDescent="0.2">
      <c r="A98" s="62">
        <f t="shared" si="0"/>
        <v>95</v>
      </c>
      <c r="B98" s="64" t="s">
        <v>502</v>
      </c>
      <c r="C98" s="64" t="s">
        <v>503</v>
      </c>
      <c r="D98" s="66" t="s">
        <v>122</v>
      </c>
      <c r="E98" s="13"/>
      <c r="F98" s="13"/>
      <c r="G98" s="13"/>
      <c r="H98" s="13"/>
      <c r="I98" s="13"/>
      <c r="J98" s="18">
        <v>0</v>
      </c>
      <c r="K98" s="11" t="s">
        <v>52</v>
      </c>
      <c r="L98" s="11"/>
      <c r="M98" s="64" t="s">
        <v>504</v>
      </c>
      <c r="N98" s="72" t="s">
        <v>505</v>
      </c>
      <c r="O98" s="16" t="s">
        <v>34</v>
      </c>
      <c r="P98" s="17"/>
      <c r="Q98" s="17"/>
      <c r="R98" s="11"/>
    </row>
    <row r="99" spans="1:18" x14ac:dyDescent="0.2">
      <c r="A99" s="62">
        <f t="shared" si="0"/>
        <v>96</v>
      </c>
      <c r="B99" s="63" t="s">
        <v>506</v>
      </c>
      <c r="C99" s="63" t="s">
        <v>507</v>
      </c>
      <c r="D99" s="73" t="s">
        <v>484</v>
      </c>
      <c r="E99" s="13"/>
      <c r="F99" s="13"/>
      <c r="G99" s="13"/>
      <c r="H99" s="13"/>
      <c r="I99" s="13"/>
      <c r="J99" s="18">
        <v>0</v>
      </c>
      <c r="K99" s="11" t="s">
        <v>52</v>
      </c>
      <c r="L99" s="19"/>
      <c r="M99" s="63" t="s">
        <v>508</v>
      </c>
      <c r="N99" s="71" t="s">
        <v>509</v>
      </c>
      <c r="O99" s="16" t="s">
        <v>34</v>
      </c>
      <c r="P99" s="17"/>
      <c r="Q99" s="17"/>
      <c r="R99" s="19"/>
    </row>
    <row r="100" spans="1:18" x14ac:dyDescent="0.2">
      <c r="A100" s="62">
        <f t="shared" si="0"/>
        <v>97</v>
      </c>
      <c r="B100" s="64" t="s">
        <v>513</v>
      </c>
      <c r="C100" s="64" t="s">
        <v>510</v>
      </c>
      <c r="D100" s="70" t="s">
        <v>183</v>
      </c>
      <c r="E100" s="13"/>
      <c r="F100" s="13"/>
      <c r="G100" s="13"/>
      <c r="H100" s="13"/>
      <c r="I100" s="13"/>
      <c r="J100" s="18">
        <v>0</v>
      </c>
      <c r="K100" s="11" t="s">
        <v>52</v>
      </c>
      <c r="L100" s="11"/>
      <c r="M100" s="64" t="s">
        <v>511</v>
      </c>
      <c r="N100" s="72" t="s">
        <v>512</v>
      </c>
      <c r="O100" s="16" t="s">
        <v>34</v>
      </c>
      <c r="P100" s="17"/>
      <c r="Q100" s="17"/>
      <c r="R100" s="11"/>
    </row>
    <row r="101" spans="1:18" x14ac:dyDescent="0.2">
      <c r="A101" s="62">
        <f t="shared" si="0"/>
        <v>98</v>
      </c>
      <c r="B101" s="63" t="s">
        <v>514</v>
      </c>
      <c r="C101" s="63" t="s">
        <v>487</v>
      </c>
      <c r="D101" s="74" t="s">
        <v>222</v>
      </c>
      <c r="E101" s="13"/>
      <c r="F101" s="13"/>
      <c r="G101" s="13"/>
      <c r="H101" s="13"/>
      <c r="I101" s="13"/>
      <c r="J101" s="18">
        <v>0</v>
      </c>
      <c r="K101" s="11" t="s">
        <v>52</v>
      </c>
      <c r="L101" s="19"/>
      <c r="M101" s="63" t="s">
        <v>515</v>
      </c>
      <c r="N101" s="71" t="s">
        <v>375</v>
      </c>
      <c r="O101" s="16" t="s">
        <v>34</v>
      </c>
      <c r="P101" s="17"/>
      <c r="Q101" s="17"/>
      <c r="R101" s="19"/>
    </row>
    <row r="102" spans="1:18" x14ac:dyDescent="0.2">
      <c r="A102" s="62">
        <f t="shared" si="0"/>
        <v>99</v>
      </c>
      <c r="B102" s="64" t="s">
        <v>516</v>
      </c>
      <c r="C102" s="64" t="s">
        <v>517</v>
      </c>
      <c r="D102" s="66" t="s">
        <v>122</v>
      </c>
      <c r="E102" s="13"/>
      <c r="F102" s="13"/>
      <c r="G102" s="13"/>
      <c r="H102" s="13"/>
      <c r="I102" s="13"/>
      <c r="J102" s="18">
        <v>0</v>
      </c>
      <c r="K102" s="11" t="s">
        <v>52</v>
      </c>
      <c r="L102" s="11"/>
      <c r="M102" s="64" t="s">
        <v>518</v>
      </c>
      <c r="N102" s="72" t="s">
        <v>519</v>
      </c>
      <c r="O102" s="16" t="s">
        <v>34</v>
      </c>
      <c r="P102" s="17"/>
      <c r="Q102" s="17"/>
      <c r="R102" s="11"/>
    </row>
    <row r="103" spans="1:18" x14ac:dyDescent="0.2">
      <c r="A103" s="62">
        <f t="shared" si="0"/>
        <v>100</v>
      </c>
      <c r="B103" s="63" t="s">
        <v>521</v>
      </c>
      <c r="C103" s="63" t="s">
        <v>520</v>
      </c>
      <c r="D103" s="66" t="s">
        <v>122</v>
      </c>
      <c r="E103" s="13"/>
      <c r="F103" s="13"/>
      <c r="G103" s="13"/>
      <c r="H103" s="13"/>
      <c r="I103" s="13"/>
      <c r="J103" s="18">
        <v>0</v>
      </c>
      <c r="K103" s="11" t="s">
        <v>52</v>
      </c>
      <c r="L103" s="19"/>
      <c r="M103" s="63" t="s">
        <v>522</v>
      </c>
      <c r="N103" s="19"/>
      <c r="O103" s="16" t="s">
        <v>34</v>
      </c>
      <c r="P103" s="17"/>
      <c r="Q103" s="17"/>
      <c r="R103" s="19"/>
    </row>
    <row r="104" spans="1:18" x14ac:dyDescent="0.2">
      <c r="A104" s="62">
        <f t="shared" si="0"/>
        <v>101</v>
      </c>
      <c r="B104" s="63" t="s">
        <v>523</v>
      </c>
      <c r="C104" s="63" t="s">
        <v>492</v>
      </c>
      <c r="D104" s="70" t="s">
        <v>483</v>
      </c>
      <c r="E104" s="13"/>
      <c r="F104" s="13"/>
      <c r="G104" s="13"/>
      <c r="H104" s="13"/>
      <c r="I104" s="13"/>
      <c r="J104" s="18">
        <v>0</v>
      </c>
      <c r="K104" s="11" t="s">
        <v>52</v>
      </c>
      <c r="L104" s="19"/>
      <c r="M104" s="63" t="s">
        <v>48</v>
      </c>
      <c r="N104" s="71" t="s">
        <v>49</v>
      </c>
      <c r="O104" s="16" t="s">
        <v>34</v>
      </c>
      <c r="P104" s="17"/>
      <c r="Q104" s="17"/>
      <c r="R104" s="19"/>
    </row>
  </sheetData>
  <mergeCells count="7">
    <mergeCell ref="A1:S1"/>
    <mergeCell ref="R2:S2"/>
    <mergeCell ref="R3:S3"/>
    <mergeCell ref="A2:D2"/>
    <mergeCell ref="E2:J2"/>
    <mergeCell ref="L2:N2"/>
    <mergeCell ref="P2:Q2"/>
  </mergeCells>
  <dataValidations count="2">
    <dataValidation type="list" allowBlank="1" sqref="O4:O189" xr:uid="{00000000-0002-0000-0000-000000000000}">
      <formula1>"À contacter,Contacté,Confirmé,Relance,Annulé"</formula1>
      <formula2>0</formula2>
    </dataValidation>
    <dataValidation type="list" allowBlank="1" sqref="P4:Q189" xr:uid="{00000000-0002-0000-0000-000001000000}">
      <formula1>"✓,Confirmé,Annulé,–"</formula1>
      <formula2>0</formula2>
    </dataValidation>
  </dataValidations>
  <hyperlinks>
    <hyperlink ref="N95" r:id="rId1" xr:uid="{88D04F2C-32FC-4278-9922-F99E9CE83411}"/>
    <hyperlink ref="N96" r:id="rId2" xr:uid="{66691B9D-C415-4EC7-9BB1-E8FA79ED3244}"/>
    <hyperlink ref="N97" r:id="rId3" xr:uid="{148A1343-8F81-4F26-9586-7A810785F673}"/>
    <hyperlink ref="N98" r:id="rId4" xr:uid="{22A07AB4-C185-4B6B-82E9-7930A7F9E55F}"/>
    <hyperlink ref="N99" r:id="rId5" xr:uid="{3F3630B1-544B-4C46-A993-B5DCCE902B23}"/>
    <hyperlink ref="N100" r:id="rId6" xr:uid="{D0C5AB8F-F7FD-407B-BA5B-DF3C9B4E956A}"/>
    <hyperlink ref="N101" r:id="rId7" xr:uid="{6EF6E496-5188-45AD-9C0E-47D378FDD887}"/>
    <hyperlink ref="N102" r:id="rId8" xr:uid="{001CBFC1-C885-4F2D-BDCE-F92D21454F65}"/>
    <hyperlink ref="N104" r:id="rId9" xr:uid="{163E8EDC-907A-4C23-AA90-0422D5E44B96}"/>
    <hyperlink ref="N6" r:id="rId10" xr:uid="{76F4942F-4508-4FB1-A475-5A4F9058F546}"/>
  </hyperlinks>
  <pageMargins left="0.75" right="0.75" top="1" bottom="1" header="0.511811023622047" footer="0.511811023622047"/>
  <pageSetup paperSize="8" orientation="landscape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4"/>
  <sheetViews>
    <sheetView zoomScaleNormal="100" workbookViewId="0">
      <pane ySplit="3" topLeftCell="A52" activePane="bottomLeft" state="frozen"/>
      <selection pane="bottomLeft" sqref="A1:O1"/>
    </sheetView>
  </sheetViews>
  <sheetFormatPr baseColWidth="10" defaultColWidth="8.6640625" defaultRowHeight="15" x14ac:dyDescent="0.2"/>
  <cols>
    <col min="1" max="1" width="30" customWidth="1"/>
    <col min="2" max="2" width="22" customWidth="1"/>
    <col min="3" max="3" width="12" customWidth="1"/>
    <col min="4" max="4" width="30" customWidth="1"/>
    <col min="5" max="5" width="22" customWidth="1"/>
    <col min="6" max="6" width="14" customWidth="1"/>
    <col min="7" max="7" width="12" customWidth="1"/>
    <col min="8" max="8" width="18" customWidth="1"/>
    <col min="9" max="10" width="7" customWidth="1"/>
    <col min="11" max="11" width="12" customWidth="1"/>
    <col min="12" max="12" width="14" customWidth="1"/>
    <col min="13" max="13" width="12" customWidth="1"/>
    <col min="14" max="14" width="14" customWidth="1"/>
    <col min="15" max="15" width="30" customWidth="1"/>
  </cols>
  <sheetData>
    <row r="1" spans="1:15" ht="27.75" customHeight="1" x14ac:dyDescent="0.2">
      <c r="A1" s="112" t="s">
        <v>300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</row>
    <row r="2" spans="1:15" ht="15.75" customHeight="1" x14ac:dyDescent="0.2">
      <c r="A2" s="113" t="s">
        <v>301</v>
      </c>
      <c r="B2" s="113"/>
      <c r="C2" s="113"/>
      <c r="D2" s="113"/>
      <c r="E2" s="115" t="s">
        <v>4</v>
      </c>
      <c r="F2" s="115"/>
      <c r="G2" s="1" t="s">
        <v>3</v>
      </c>
      <c r="H2" s="2" t="s">
        <v>302</v>
      </c>
      <c r="I2" s="116" t="s">
        <v>6</v>
      </c>
      <c r="J2" s="116"/>
      <c r="K2" s="26" t="s">
        <v>303</v>
      </c>
      <c r="L2" s="120" t="s">
        <v>304</v>
      </c>
      <c r="M2" s="120"/>
      <c r="N2" s="120"/>
      <c r="O2" s="120"/>
    </row>
    <row r="3" spans="1:15" ht="36" customHeight="1" x14ac:dyDescent="0.2">
      <c r="A3" s="4" t="s">
        <v>305</v>
      </c>
      <c r="B3" s="4" t="s">
        <v>9</v>
      </c>
      <c r="C3" s="4" t="s">
        <v>306</v>
      </c>
      <c r="D3" s="7" t="s">
        <v>307</v>
      </c>
      <c r="E3" s="7" t="s">
        <v>18</v>
      </c>
      <c r="F3" s="7" t="s">
        <v>19</v>
      </c>
      <c r="G3" s="6" t="s">
        <v>17</v>
      </c>
      <c r="H3" s="8" t="s">
        <v>308</v>
      </c>
      <c r="I3" s="9" t="s">
        <v>22</v>
      </c>
      <c r="J3" s="9" t="s">
        <v>23</v>
      </c>
      <c r="K3" s="27" t="s">
        <v>309</v>
      </c>
      <c r="L3" s="9" t="s">
        <v>310</v>
      </c>
      <c r="M3" s="9" t="s">
        <v>311</v>
      </c>
      <c r="N3" s="3" t="s">
        <v>312</v>
      </c>
      <c r="O3" s="3" t="s">
        <v>313</v>
      </c>
    </row>
    <row r="4" spans="1:15" ht="15" customHeight="1" x14ac:dyDescent="0.2">
      <c r="A4" s="11" t="s">
        <v>25</v>
      </c>
      <c r="B4" s="11" t="s">
        <v>26</v>
      </c>
      <c r="C4" s="12" t="s">
        <v>27</v>
      </c>
      <c r="D4" s="11" t="s">
        <v>33</v>
      </c>
      <c r="E4" s="11" t="s">
        <v>31</v>
      </c>
      <c r="F4" s="11" t="s">
        <v>32</v>
      </c>
      <c r="G4" s="15" t="s">
        <v>30</v>
      </c>
      <c r="H4" s="28" t="s">
        <v>34</v>
      </c>
      <c r="I4" s="17"/>
      <c r="J4" s="17"/>
      <c r="K4" s="29"/>
      <c r="L4" s="17"/>
      <c r="M4" s="17"/>
      <c r="N4" s="11"/>
      <c r="O4" s="11"/>
    </row>
    <row r="5" spans="1:15" ht="15" customHeight="1" x14ac:dyDescent="0.2">
      <c r="A5" s="19" t="s">
        <v>35</v>
      </c>
      <c r="B5" s="19" t="s">
        <v>36</v>
      </c>
      <c r="C5" s="12" t="s">
        <v>27</v>
      </c>
      <c r="D5" s="19" t="s">
        <v>39</v>
      </c>
      <c r="E5" s="19" t="s">
        <v>37</v>
      </c>
      <c r="F5" s="19" t="s">
        <v>38</v>
      </c>
      <c r="G5" s="15" t="s">
        <v>30</v>
      </c>
      <c r="H5" s="28" t="s">
        <v>34</v>
      </c>
      <c r="I5" s="17"/>
      <c r="J5" s="17"/>
      <c r="K5" s="29"/>
      <c r="L5" s="17"/>
      <c r="M5" s="17"/>
      <c r="N5" s="19"/>
      <c r="O5" s="19"/>
    </row>
    <row r="6" spans="1:15" ht="15" customHeight="1" x14ac:dyDescent="0.2">
      <c r="A6" s="11" t="s">
        <v>40</v>
      </c>
      <c r="B6" s="11" t="s">
        <v>41</v>
      </c>
      <c r="C6" s="12" t="s">
        <v>27</v>
      </c>
      <c r="D6" s="11" t="s">
        <v>44</v>
      </c>
      <c r="E6" s="11" t="s">
        <v>42</v>
      </c>
      <c r="F6" s="11" t="s">
        <v>43</v>
      </c>
      <c r="G6" s="15" t="s">
        <v>30</v>
      </c>
      <c r="H6" s="28" t="s">
        <v>34</v>
      </c>
      <c r="I6" s="17"/>
      <c r="J6" s="17"/>
      <c r="K6" s="29"/>
      <c r="L6" s="17"/>
      <c r="M6" s="17"/>
      <c r="N6" s="11"/>
      <c r="O6" s="11"/>
    </row>
    <row r="7" spans="1:15" ht="15" customHeight="1" x14ac:dyDescent="0.2">
      <c r="A7" s="19" t="s">
        <v>45</v>
      </c>
      <c r="B7" s="19" t="s">
        <v>46</v>
      </c>
      <c r="C7" s="12" t="s">
        <v>27</v>
      </c>
      <c r="D7" s="19" t="s">
        <v>49</v>
      </c>
      <c r="E7" s="19" t="s">
        <v>47</v>
      </c>
      <c r="F7" s="19" t="s">
        <v>48</v>
      </c>
      <c r="G7" s="15" t="s">
        <v>30</v>
      </c>
      <c r="H7" s="28" t="s">
        <v>34</v>
      </c>
      <c r="I7" s="17"/>
      <c r="J7" s="17"/>
      <c r="K7" s="29"/>
      <c r="L7" s="17"/>
      <c r="M7" s="17"/>
      <c r="N7" s="19"/>
      <c r="O7" s="19"/>
    </row>
    <row r="8" spans="1:15" ht="15" customHeight="1" x14ac:dyDescent="0.2">
      <c r="A8" s="11" t="s">
        <v>50</v>
      </c>
      <c r="B8" s="11" t="s">
        <v>51</v>
      </c>
      <c r="C8" s="12" t="s">
        <v>27</v>
      </c>
      <c r="D8" s="11" t="s">
        <v>55</v>
      </c>
      <c r="E8" s="11" t="s">
        <v>53</v>
      </c>
      <c r="F8" s="11" t="s">
        <v>54</v>
      </c>
      <c r="G8" s="11" t="s">
        <v>52</v>
      </c>
      <c r="H8" s="16" t="s">
        <v>34</v>
      </c>
      <c r="I8" s="17"/>
      <c r="J8" s="17"/>
      <c r="K8" s="29"/>
      <c r="L8" s="17"/>
      <c r="M8" s="17"/>
      <c r="N8" s="11"/>
      <c r="O8" s="11"/>
    </row>
    <row r="9" spans="1:15" ht="15" customHeight="1" x14ac:dyDescent="0.2">
      <c r="A9" s="19" t="s">
        <v>56</v>
      </c>
      <c r="B9" s="19" t="s">
        <v>57</v>
      </c>
      <c r="C9" s="12" t="s">
        <v>27</v>
      </c>
      <c r="D9" s="19" t="s">
        <v>60</v>
      </c>
      <c r="E9" s="19" t="s">
        <v>58</v>
      </c>
      <c r="F9" s="19" t="s">
        <v>59</v>
      </c>
      <c r="G9" s="11" t="s">
        <v>52</v>
      </c>
      <c r="H9" s="16" t="s">
        <v>34</v>
      </c>
      <c r="I9" s="17"/>
      <c r="J9" s="17"/>
      <c r="K9" s="29"/>
      <c r="L9" s="17"/>
      <c r="M9" s="17"/>
      <c r="N9" s="19"/>
      <c r="O9" s="19"/>
    </row>
    <row r="10" spans="1:15" ht="15" customHeight="1" x14ac:dyDescent="0.2">
      <c r="A10" s="11" t="s">
        <v>61</v>
      </c>
      <c r="B10" s="11" t="s">
        <v>62</v>
      </c>
      <c r="C10" s="12" t="s">
        <v>27</v>
      </c>
      <c r="D10" s="11" t="s">
        <v>64</v>
      </c>
      <c r="E10" s="11" t="s">
        <v>63</v>
      </c>
      <c r="F10" s="11"/>
      <c r="G10" s="15" t="s">
        <v>30</v>
      </c>
      <c r="H10" s="28" t="s">
        <v>34</v>
      </c>
      <c r="I10" s="17"/>
      <c r="J10" s="17"/>
      <c r="K10" s="29"/>
      <c r="L10" s="17"/>
      <c r="M10" s="17"/>
      <c r="N10" s="11"/>
      <c r="O10" s="11"/>
    </row>
    <row r="11" spans="1:15" ht="15" customHeight="1" x14ac:dyDescent="0.2">
      <c r="A11" s="19" t="s">
        <v>65</v>
      </c>
      <c r="B11" s="19" t="s">
        <v>66</v>
      </c>
      <c r="C11" s="12" t="s">
        <v>27</v>
      </c>
      <c r="D11" s="19" t="s">
        <v>69</v>
      </c>
      <c r="E11" s="19" t="s">
        <v>67</v>
      </c>
      <c r="F11" s="19" t="s">
        <v>68</v>
      </c>
      <c r="G11" s="11" t="s">
        <v>52</v>
      </c>
      <c r="H11" s="16" t="s">
        <v>34</v>
      </c>
      <c r="I11" s="17"/>
      <c r="J11" s="17"/>
      <c r="K11" s="29"/>
      <c r="L11" s="17"/>
      <c r="M11" s="17"/>
      <c r="N11" s="19"/>
      <c r="O11" s="19"/>
    </row>
    <row r="12" spans="1:15" ht="15" customHeight="1" x14ac:dyDescent="0.2">
      <c r="A12" s="11" t="s">
        <v>70</v>
      </c>
      <c r="B12" s="11" t="s">
        <v>71</v>
      </c>
      <c r="C12" s="12" t="s">
        <v>27</v>
      </c>
      <c r="D12" s="11" t="s">
        <v>74</v>
      </c>
      <c r="E12" s="11" t="s">
        <v>72</v>
      </c>
      <c r="F12" s="11" t="s">
        <v>73</v>
      </c>
      <c r="G12" s="11" t="s">
        <v>52</v>
      </c>
      <c r="H12" s="16" t="s">
        <v>34</v>
      </c>
      <c r="I12" s="17"/>
      <c r="J12" s="17"/>
      <c r="K12" s="29"/>
      <c r="L12" s="17"/>
      <c r="M12" s="17"/>
      <c r="N12" s="11"/>
      <c r="O12" s="11"/>
    </row>
    <row r="13" spans="1:15" ht="15" customHeight="1" x14ac:dyDescent="0.2">
      <c r="A13" s="19" t="s">
        <v>75</v>
      </c>
      <c r="B13" s="19" t="s">
        <v>76</v>
      </c>
      <c r="C13" s="12" t="s">
        <v>27</v>
      </c>
      <c r="D13" s="19" t="s">
        <v>79</v>
      </c>
      <c r="E13" s="19" t="s">
        <v>77</v>
      </c>
      <c r="F13" s="19" t="s">
        <v>78</v>
      </c>
      <c r="G13" s="11" t="s">
        <v>52</v>
      </c>
      <c r="H13" s="16" t="s">
        <v>34</v>
      </c>
      <c r="I13" s="17"/>
      <c r="J13" s="17"/>
      <c r="K13" s="29"/>
      <c r="L13" s="17"/>
      <c r="M13" s="17"/>
      <c r="N13" s="19"/>
      <c r="O13" s="19"/>
    </row>
    <row r="14" spans="1:15" ht="15" customHeight="1" x14ac:dyDescent="0.2">
      <c r="A14" s="11" t="s">
        <v>80</v>
      </c>
      <c r="B14" s="11" t="s">
        <v>81</v>
      </c>
      <c r="C14" s="12" t="s">
        <v>27</v>
      </c>
      <c r="D14" s="11" t="s">
        <v>83</v>
      </c>
      <c r="E14" s="11"/>
      <c r="F14" s="11" t="s">
        <v>82</v>
      </c>
      <c r="G14" s="15" t="s">
        <v>30</v>
      </c>
      <c r="H14" s="28" t="s">
        <v>34</v>
      </c>
      <c r="I14" s="17"/>
      <c r="J14" s="17"/>
      <c r="K14" s="29"/>
      <c r="L14" s="17"/>
      <c r="M14" s="17"/>
      <c r="N14" s="11"/>
      <c r="O14" s="11"/>
    </row>
    <row r="15" spans="1:15" ht="15" customHeight="1" x14ac:dyDescent="0.2">
      <c r="A15" s="19" t="s">
        <v>84</v>
      </c>
      <c r="B15" s="19" t="s">
        <v>81</v>
      </c>
      <c r="C15" s="12" t="s">
        <v>27</v>
      </c>
      <c r="D15" s="19" t="s">
        <v>86</v>
      </c>
      <c r="E15" s="19" t="s">
        <v>85</v>
      </c>
      <c r="F15" s="19" t="s">
        <v>82</v>
      </c>
      <c r="G15" s="15" t="s">
        <v>30</v>
      </c>
      <c r="H15" s="28" t="s">
        <v>34</v>
      </c>
      <c r="I15" s="17"/>
      <c r="J15" s="17"/>
      <c r="K15" s="29"/>
      <c r="L15" s="17"/>
      <c r="M15" s="17"/>
      <c r="N15" s="19"/>
      <c r="O15" s="19"/>
    </row>
    <row r="16" spans="1:15" ht="15" customHeight="1" x14ac:dyDescent="0.2">
      <c r="A16" s="11" t="s">
        <v>87</v>
      </c>
      <c r="B16" s="11" t="s">
        <v>88</v>
      </c>
      <c r="C16" s="20" t="s">
        <v>89</v>
      </c>
      <c r="D16" s="11" t="s">
        <v>92</v>
      </c>
      <c r="E16" s="11" t="s">
        <v>90</v>
      </c>
      <c r="F16" s="11" t="s">
        <v>91</v>
      </c>
      <c r="G16" s="15" t="s">
        <v>30</v>
      </c>
      <c r="H16" s="28" t="s">
        <v>34</v>
      </c>
      <c r="I16" s="17"/>
      <c r="J16" s="17"/>
      <c r="K16" s="29"/>
      <c r="L16" s="17"/>
      <c r="M16" s="17"/>
      <c r="N16" s="11"/>
      <c r="O16" s="11"/>
    </row>
    <row r="17" spans="1:15" ht="15" customHeight="1" x14ac:dyDescent="0.2">
      <c r="A17" s="19" t="s">
        <v>93</v>
      </c>
      <c r="B17" s="19" t="s">
        <v>94</v>
      </c>
      <c r="C17" s="20" t="s">
        <v>89</v>
      </c>
      <c r="D17" s="19" t="s">
        <v>98</v>
      </c>
      <c r="E17" s="19" t="s">
        <v>96</v>
      </c>
      <c r="F17" s="19" t="s">
        <v>97</v>
      </c>
      <c r="G17" s="21" t="s">
        <v>95</v>
      </c>
      <c r="H17" s="16" t="s">
        <v>34</v>
      </c>
      <c r="I17" s="17"/>
      <c r="J17" s="17"/>
      <c r="K17" s="29"/>
      <c r="L17" s="17"/>
      <c r="M17" s="17"/>
      <c r="N17" s="19"/>
      <c r="O17" s="19"/>
    </row>
    <row r="18" spans="1:15" ht="15" customHeight="1" x14ac:dyDescent="0.2">
      <c r="A18" s="11" t="s">
        <v>99</v>
      </c>
      <c r="B18" s="11" t="s">
        <v>100</v>
      </c>
      <c r="C18" s="20" t="s">
        <v>89</v>
      </c>
      <c r="D18" s="11" t="s">
        <v>101</v>
      </c>
      <c r="E18" s="11"/>
      <c r="F18" s="11"/>
      <c r="G18" s="11" t="s">
        <v>52</v>
      </c>
      <c r="H18" s="16" t="s">
        <v>34</v>
      </c>
      <c r="I18" s="17"/>
      <c r="J18" s="17"/>
      <c r="K18" s="29"/>
      <c r="L18" s="17"/>
      <c r="M18" s="17"/>
      <c r="N18" s="11"/>
      <c r="O18" s="11"/>
    </row>
    <row r="19" spans="1:15" ht="15" customHeight="1" x14ac:dyDescent="0.2">
      <c r="A19" s="19" t="s">
        <v>102</v>
      </c>
      <c r="B19" s="19" t="s">
        <v>103</v>
      </c>
      <c r="C19" s="20" t="s">
        <v>89</v>
      </c>
      <c r="D19" s="19" t="s">
        <v>106</v>
      </c>
      <c r="E19" s="19" t="s">
        <v>104</v>
      </c>
      <c r="F19" s="19" t="s">
        <v>105</v>
      </c>
      <c r="G19" s="11" t="s">
        <v>52</v>
      </c>
      <c r="H19" s="16" t="s">
        <v>34</v>
      </c>
      <c r="I19" s="17"/>
      <c r="J19" s="17"/>
      <c r="K19" s="29"/>
      <c r="L19" s="17"/>
      <c r="M19" s="17"/>
      <c r="N19" s="19"/>
      <c r="O19" s="19"/>
    </row>
    <row r="20" spans="1:15" ht="15" customHeight="1" x14ac:dyDescent="0.2">
      <c r="A20" s="11" t="s">
        <v>107</v>
      </c>
      <c r="B20" s="11" t="s">
        <v>108</v>
      </c>
      <c r="C20" s="20" t="s">
        <v>89</v>
      </c>
      <c r="D20" s="11" t="s">
        <v>111</v>
      </c>
      <c r="E20" s="11" t="s">
        <v>109</v>
      </c>
      <c r="F20" s="11" t="s">
        <v>110</v>
      </c>
      <c r="G20" s="11" t="s">
        <v>52</v>
      </c>
      <c r="H20" s="16" t="s">
        <v>34</v>
      </c>
      <c r="I20" s="17"/>
      <c r="J20" s="17"/>
      <c r="K20" s="29"/>
      <c r="L20" s="17"/>
      <c r="M20" s="17"/>
      <c r="N20" s="11"/>
      <c r="O20" s="11"/>
    </row>
    <row r="21" spans="1:15" ht="15" customHeight="1" x14ac:dyDescent="0.2">
      <c r="A21" s="19" t="s">
        <v>112</v>
      </c>
      <c r="B21" s="19" t="s">
        <v>113</v>
      </c>
      <c r="C21" s="20" t="s">
        <v>89</v>
      </c>
      <c r="D21" s="19" t="s">
        <v>116</v>
      </c>
      <c r="E21" s="19" t="s">
        <v>114</v>
      </c>
      <c r="F21" s="19" t="s">
        <v>115</v>
      </c>
      <c r="G21" s="21" t="s">
        <v>95</v>
      </c>
      <c r="H21" s="16" t="s">
        <v>34</v>
      </c>
      <c r="I21" s="17"/>
      <c r="J21" s="17"/>
      <c r="K21" s="29"/>
      <c r="L21" s="17"/>
      <c r="M21" s="17"/>
      <c r="N21" s="19"/>
      <c r="O21" s="19"/>
    </row>
    <row r="22" spans="1:15" ht="15" customHeight="1" x14ac:dyDescent="0.2">
      <c r="A22" s="11" t="s">
        <v>117</v>
      </c>
      <c r="B22" s="11" t="s">
        <v>57</v>
      </c>
      <c r="C22" s="20" t="s">
        <v>89</v>
      </c>
      <c r="D22" s="11" t="s">
        <v>119</v>
      </c>
      <c r="E22" s="11" t="s">
        <v>118</v>
      </c>
      <c r="F22" s="11"/>
      <c r="G22" s="11" t="s">
        <v>52</v>
      </c>
      <c r="H22" s="16" t="s">
        <v>34</v>
      </c>
      <c r="I22" s="17"/>
      <c r="J22" s="17"/>
      <c r="K22" s="29"/>
      <c r="L22" s="17"/>
      <c r="M22" s="17"/>
      <c r="N22" s="11"/>
      <c r="O22" s="11"/>
    </row>
    <row r="23" spans="1:15" ht="15" customHeight="1" x14ac:dyDescent="0.2">
      <c r="A23" s="19" t="s">
        <v>121</v>
      </c>
      <c r="B23" s="19" t="s">
        <v>26</v>
      </c>
      <c r="C23" s="22" t="s">
        <v>122</v>
      </c>
      <c r="D23" s="19" t="s">
        <v>125</v>
      </c>
      <c r="E23" s="19" t="s">
        <v>123</v>
      </c>
      <c r="F23" s="19" t="s">
        <v>124</v>
      </c>
      <c r="G23" s="15" t="s">
        <v>30</v>
      </c>
      <c r="H23" s="28" t="s">
        <v>34</v>
      </c>
      <c r="I23" s="17"/>
      <c r="J23" s="17"/>
      <c r="K23" s="29"/>
      <c r="L23" s="17"/>
      <c r="M23" s="17"/>
      <c r="N23" s="19"/>
      <c r="O23" s="19"/>
    </row>
    <row r="24" spans="1:15" ht="15" customHeight="1" x14ac:dyDescent="0.2">
      <c r="A24" s="11" t="s">
        <v>126</v>
      </c>
      <c r="B24" s="11" t="s">
        <v>36</v>
      </c>
      <c r="C24" s="22" t="s">
        <v>122</v>
      </c>
      <c r="D24" s="11" t="s">
        <v>129</v>
      </c>
      <c r="E24" s="11" t="s">
        <v>127</v>
      </c>
      <c r="F24" s="11" t="s">
        <v>128</v>
      </c>
      <c r="G24" s="15" t="s">
        <v>30</v>
      </c>
      <c r="H24" s="28" t="s">
        <v>34</v>
      </c>
      <c r="I24" s="17"/>
      <c r="J24" s="17"/>
      <c r="K24" s="29"/>
      <c r="L24" s="17"/>
      <c r="M24" s="17"/>
      <c r="N24" s="11"/>
      <c r="O24" s="11"/>
    </row>
    <row r="25" spans="1:15" ht="15" customHeight="1" x14ac:dyDescent="0.2">
      <c r="A25" s="19" t="s">
        <v>130</v>
      </c>
      <c r="B25" s="19" t="s">
        <v>46</v>
      </c>
      <c r="C25" s="22" t="s">
        <v>122</v>
      </c>
      <c r="D25" s="19" t="s">
        <v>133</v>
      </c>
      <c r="E25" s="19" t="s">
        <v>131</v>
      </c>
      <c r="F25" s="19" t="s">
        <v>132</v>
      </c>
      <c r="G25" s="15" t="s">
        <v>30</v>
      </c>
      <c r="H25" s="28" t="s">
        <v>34</v>
      </c>
      <c r="I25" s="17"/>
      <c r="J25" s="17"/>
      <c r="K25" s="29"/>
      <c r="L25" s="17"/>
      <c r="M25" s="17"/>
      <c r="N25" s="19"/>
      <c r="O25" s="19"/>
    </row>
    <row r="26" spans="1:15" ht="15" customHeight="1" x14ac:dyDescent="0.2">
      <c r="A26" s="11" t="s">
        <v>134</v>
      </c>
      <c r="B26" s="11" t="s">
        <v>135</v>
      </c>
      <c r="C26" s="22" t="s">
        <v>122</v>
      </c>
      <c r="D26" s="11" t="s">
        <v>138</v>
      </c>
      <c r="E26" s="11" t="s">
        <v>136</v>
      </c>
      <c r="F26" s="11" t="s">
        <v>137</v>
      </c>
      <c r="G26" s="21" t="s">
        <v>95</v>
      </c>
      <c r="H26" s="16" t="s">
        <v>34</v>
      </c>
      <c r="I26" s="17"/>
      <c r="J26" s="17"/>
      <c r="K26" s="29"/>
      <c r="L26" s="17"/>
      <c r="M26" s="17"/>
      <c r="N26" s="11"/>
      <c r="O26" s="11"/>
    </row>
    <row r="27" spans="1:15" ht="15" customHeight="1" x14ac:dyDescent="0.2">
      <c r="A27" s="19" t="s">
        <v>139</v>
      </c>
      <c r="B27" s="19" t="s">
        <v>140</v>
      </c>
      <c r="C27" s="22" t="s">
        <v>122</v>
      </c>
      <c r="D27" s="19" t="s">
        <v>143</v>
      </c>
      <c r="E27" s="19" t="s">
        <v>141</v>
      </c>
      <c r="F27" s="19" t="s">
        <v>142</v>
      </c>
      <c r="G27" s="11" t="s">
        <v>52</v>
      </c>
      <c r="H27" s="16" t="s">
        <v>34</v>
      </c>
      <c r="I27" s="17"/>
      <c r="J27" s="17"/>
      <c r="K27" s="29"/>
      <c r="L27" s="17"/>
      <c r="M27" s="17"/>
      <c r="N27" s="19"/>
      <c r="O27" s="19"/>
    </row>
    <row r="28" spans="1:15" ht="15" customHeight="1" x14ac:dyDescent="0.2">
      <c r="A28" s="11" t="s">
        <v>144</v>
      </c>
      <c r="B28" s="11" t="s">
        <v>145</v>
      </c>
      <c r="C28" s="22" t="s">
        <v>122</v>
      </c>
      <c r="D28" s="11" t="s">
        <v>148</v>
      </c>
      <c r="E28" s="11" t="s">
        <v>146</v>
      </c>
      <c r="F28" s="11" t="s">
        <v>147</v>
      </c>
      <c r="G28" s="11" t="s">
        <v>52</v>
      </c>
      <c r="H28" s="16" t="s">
        <v>34</v>
      </c>
      <c r="I28" s="17"/>
      <c r="J28" s="17"/>
      <c r="K28" s="29"/>
      <c r="L28" s="17"/>
      <c r="M28" s="17"/>
      <c r="N28" s="11"/>
      <c r="O28" s="11"/>
    </row>
    <row r="29" spans="1:15" ht="15" customHeight="1" x14ac:dyDescent="0.2">
      <c r="A29" s="19" t="s">
        <v>149</v>
      </c>
      <c r="B29" s="19" t="s">
        <v>150</v>
      </c>
      <c r="C29" s="22" t="s">
        <v>122</v>
      </c>
      <c r="D29" s="19" t="s">
        <v>151</v>
      </c>
      <c r="E29" s="19"/>
      <c r="F29" s="19"/>
      <c r="G29" s="21" t="s">
        <v>95</v>
      </c>
      <c r="H29" s="16" t="s">
        <v>34</v>
      </c>
      <c r="I29" s="17"/>
      <c r="J29" s="17"/>
      <c r="K29" s="29"/>
      <c r="L29" s="17"/>
      <c r="M29" s="17"/>
      <c r="N29" s="19"/>
      <c r="O29" s="19"/>
    </row>
    <row r="30" spans="1:15" ht="15" customHeight="1" x14ac:dyDescent="0.2">
      <c r="A30" s="11" t="s">
        <v>152</v>
      </c>
      <c r="B30" s="11" t="s">
        <v>62</v>
      </c>
      <c r="C30" s="22" t="s">
        <v>122</v>
      </c>
      <c r="D30" s="11"/>
      <c r="E30" s="11"/>
      <c r="F30" s="11"/>
      <c r="G30" s="11" t="s">
        <v>52</v>
      </c>
      <c r="H30" s="16" t="s">
        <v>34</v>
      </c>
      <c r="I30" s="17"/>
      <c r="J30" s="17"/>
      <c r="K30" s="29"/>
      <c r="L30" s="17"/>
      <c r="M30" s="17"/>
      <c r="N30" s="11"/>
      <c r="O30" s="11"/>
    </row>
    <row r="31" spans="1:15" ht="15" customHeight="1" x14ac:dyDescent="0.2">
      <c r="A31" s="19" t="s">
        <v>155</v>
      </c>
      <c r="B31" s="19" t="s">
        <v>156</v>
      </c>
      <c r="C31" s="22" t="s">
        <v>122</v>
      </c>
      <c r="D31" s="19" t="s">
        <v>159</v>
      </c>
      <c r="E31" s="19" t="s">
        <v>157</v>
      </c>
      <c r="F31" s="19" t="s">
        <v>158</v>
      </c>
      <c r="G31" s="21" t="s">
        <v>95</v>
      </c>
      <c r="H31" s="16" t="s">
        <v>34</v>
      </c>
      <c r="I31" s="17"/>
      <c r="J31" s="17"/>
      <c r="K31" s="29"/>
      <c r="L31" s="17"/>
      <c r="M31" s="17"/>
      <c r="N31" s="19"/>
      <c r="O31" s="19"/>
    </row>
    <row r="32" spans="1:15" ht="15" customHeight="1" x14ac:dyDescent="0.2">
      <c r="A32" s="11" t="s">
        <v>160</v>
      </c>
      <c r="B32" s="11" t="s">
        <v>145</v>
      </c>
      <c r="C32" s="22" t="s">
        <v>122</v>
      </c>
      <c r="D32" s="11" t="s">
        <v>163</v>
      </c>
      <c r="E32" s="11" t="s">
        <v>161</v>
      </c>
      <c r="F32" s="11" t="s">
        <v>162</v>
      </c>
      <c r="G32" s="11" t="s">
        <v>52</v>
      </c>
      <c r="H32" s="16" t="s">
        <v>34</v>
      </c>
      <c r="I32" s="17"/>
      <c r="J32" s="17"/>
      <c r="K32" s="29"/>
      <c r="L32" s="17"/>
      <c r="M32" s="17"/>
      <c r="N32" s="11"/>
      <c r="O32" s="11"/>
    </row>
    <row r="33" spans="1:15" ht="15" customHeight="1" x14ac:dyDescent="0.2">
      <c r="A33" s="19" t="s">
        <v>164</v>
      </c>
      <c r="B33" s="19" t="s">
        <v>165</v>
      </c>
      <c r="C33" s="22" t="s">
        <v>122</v>
      </c>
      <c r="D33" s="19" t="s">
        <v>168</v>
      </c>
      <c r="E33" s="19" t="s">
        <v>166</v>
      </c>
      <c r="F33" s="19" t="s">
        <v>167</v>
      </c>
      <c r="G33" s="11" t="s">
        <v>52</v>
      </c>
      <c r="H33" s="16" t="s">
        <v>34</v>
      </c>
      <c r="I33" s="17"/>
      <c r="J33" s="17"/>
      <c r="K33" s="29"/>
      <c r="L33" s="17"/>
      <c r="M33" s="17"/>
      <c r="N33" s="19"/>
      <c r="O33" s="19"/>
    </row>
    <row r="34" spans="1:15" ht="15" customHeight="1" x14ac:dyDescent="0.2">
      <c r="A34" s="11" t="s">
        <v>169</v>
      </c>
      <c r="B34" s="11" t="s">
        <v>170</v>
      </c>
      <c r="C34" s="22" t="s">
        <v>122</v>
      </c>
      <c r="D34" s="11" t="s">
        <v>173</v>
      </c>
      <c r="E34" s="11" t="s">
        <v>171</v>
      </c>
      <c r="F34" s="11" t="s">
        <v>172</v>
      </c>
      <c r="G34" s="11" t="s">
        <v>52</v>
      </c>
      <c r="H34" s="16" t="s">
        <v>34</v>
      </c>
      <c r="I34" s="17"/>
      <c r="J34" s="17"/>
      <c r="K34" s="29"/>
      <c r="L34" s="17"/>
      <c r="M34" s="17"/>
      <c r="N34" s="11"/>
      <c r="O34" s="11"/>
    </row>
    <row r="35" spans="1:15" ht="15" customHeight="1" x14ac:dyDescent="0.2">
      <c r="A35" s="19" t="s">
        <v>176</v>
      </c>
      <c r="B35" s="19" t="s">
        <v>177</v>
      </c>
      <c r="C35" s="22" t="s">
        <v>122</v>
      </c>
      <c r="D35" s="19" t="s">
        <v>178</v>
      </c>
      <c r="E35" s="19"/>
      <c r="F35" s="19"/>
      <c r="G35" s="11" t="s">
        <v>52</v>
      </c>
      <c r="H35" s="16" t="s">
        <v>34</v>
      </c>
      <c r="I35" s="17"/>
      <c r="J35" s="17"/>
      <c r="K35" s="29"/>
      <c r="L35" s="17"/>
      <c r="M35" s="17"/>
      <c r="N35" s="19"/>
      <c r="O35" s="19"/>
    </row>
    <row r="36" spans="1:15" ht="15" customHeight="1" x14ac:dyDescent="0.2">
      <c r="A36" s="11" t="s">
        <v>181</v>
      </c>
      <c r="B36" s="11" t="s">
        <v>182</v>
      </c>
      <c r="C36" s="23" t="s">
        <v>183</v>
      </c>
      <c r="D36" s="11" t="s">
        <v>186</v>
      </c>
      <c r="E36" s="11" t="s">
        <v>184</v>
      </c>
      <c r="F36" s="11" t="s">
        <v>185</v>
      </c>
      <c r="G36" s="15" t="s">
        <v>30</v>
      </c>
      <c r="H36" s="28" t="s">
        <v>34</v>
      </c>
      <c r="I36" s="17"/>
      <c r="J36" s="17"/>
      <c r="K36" s="29"/>
      <c r="L36" s="17"/>
      <c r="M36" s="17"/>
      <c r="N36" s="11"/>
      <c r="O36" s="11"/>
    </row>
    <row r="37" spans="1:15" ht="15" customHeight="1" x14ac:dyDescent="0.2">
      <c r="A37" s="19" t="s">
        <v>187</v>
      </c>
      <c r="B37" s="19" t="s">
        <v>188</v>
      </c>
      <c r="C37" s="23" t="s">
        <v>183</v>
      </c>
      <c r="D37" s="19" t="s">
        <v>191</v>
      </c>
      <c r="E37" s="19" t="s">
        <v>189</v>
      </c>
      <c r="F37" s="19" t="s">
        <v>190</v>
      </c>
      <c r="G37" s="15" t="s">
        <v>30</v>
      </c>
      <c r="H37" s="28" t="s">
        <v>34</v>
      </c>
      <c r="I37" s="17"/>
      <c r="J37" s="17"/>
      <c r="K37" s="29"/>
      <c r="L37" s="17"/>
      <c r="M37" s="17"/>
      <c r="N37" s="19"/>
      <c r="O37" s="19"/>
    </row>
    <row r="38" spans="1:15" ht="15" customHeight="1" x14ac:dyDescent="0.2">
      <c r="A38" s="11" t="s">
        <v>192</v>
      </c>
      <c r="B38" s="11" t="s">
        <v>193</v>
      </c>
      <c r="C38" s="23" t="s">
        <v>183</v>
      </c>
      <c r="D38" s="11" t="s">
        <v>196</v>
      </c>
      <c r="E38" s="11" t="s">
        <v>194</v>
      </c>
      <c r="F38" s="11" t="s">
        <v>195</v>
      </c>
      <c r="G38" s="15" t="s">
        <v>30</v>
      </c>
      <c r="H38" s="28" t="s">
        <v>34</v>
      </c>
      <c r="I38" s="17"/>
      <c r="J38" s="17"/>
      <c r="K38" s="29"/>
      <c r="L38" s="17"/>
      <c r="M38" s="17"/>
      <c r="N38" s="11"/>
      <c r="O38" s="11"/>
    </row>
    <row r="39" spans="1:15" ht="15" customHeight="1" x14ac:dyDescent="0.2">
      <c r="A39" s="19" t="s">
        <v>197</v>
      </c>
      <c r="B39" s="19" t="s">
        <v>198</v>
      </c>
      <c r="C39" s="23" t="s">
        <v>183</v>
      </c>
      <c r="D39" s="19"/>
      <c r="E39" s="19"/>
      <c r="F39" s="19"/>
      <c r="G39" s="21" t="s">
        <v>95</v>
      </c>
      <c r="H39" s="16" t="s">
        <v>34</v>
      </c>
      <c r="I39" s="17"/>
      <c r="J39" s="17"/>
      <c r="K39" s="29"/>
      <c r="L39" s="17"/>
      <c r="M39" s="17"/>
      <c r="N39" s="19"/>
      <c r="O39" s="19"/>
    </row>
    <row r="40" spans="1:15" ht="15" customHeight="1" x14ac:dyDescent="0.2">
      <c r="A40" s="11" t="s">
        <v>199</v>
      </c>
      <c r="B40" s="11" t="s">
        <v>200</v>
      </c>
      <c r="C40" s="23" t="s">
        <v>183</v>
      </c>
      <c r="D40" s="11" t="s">
        <v>203</v>
      </c>
      <c r="E40" s="11" t="s">
        <v>201</v>
      </c>
      <c r="F40" s="11" t="s">
        <v>202</v>
      </c>
      <c r="G40" s="21" t="s">
        <v>95</v>
      </c>
      <c r="H40" s="16" t="s">
        <v>34</v>
      </c>
      <c r="I40" s="17"/>
      <c r="J40" s="17"/>
      <c r="K40" s="29"/>
      <c r="L40" s="17"/>
      <c r="M40" s="17"/>
      <c r="N40" s="11"/>
      <c r="O40" s="11"/>
    </row>
    <row r="41" spans="1:15" ht="15" customHeight="1" x14ac:dyDescent="0.2">
      <c r="A41" s="19" t="s">
        <v>206</v>
      </c>
      <c r="B41" s="19" t="s">
        <v>207</v>
      </c>
      <c r="C41" s="23" t="s">
        <v>183</v>
      </c>
      <c r="D41" s="19" t="s">
        <v>210</v>
      </c>
      <c r="E41" s="19" t="s">
        <v>208</v>
      </c>
      <c r="F41" s="19" t="s">
        <v>209</v>
      </c>
      <c r="G41" s="11" t="s">
        <v>52</v>
      </c>
      <c r="H41" s="16" t="s">
        <v>34</v>
      </c>
      <c r="I41" s="17"/>
      <c r="J41" s="17"/>
      <c r="K41" s="29"/>
      <c r="L41" s="17"/>
      <c r="M41" s="17"/>
      <c r="N41" s="19"/>
      <c r="O41" s="19"/>
    </row>
    <row r="42" spans="1:15" ht="15" customHeight="1" x14ac:dyDescent="0.2">
      <c r="A42" s="11" t="s">
        <v>211</v>
      </c>
      <c r="B42" s="11" t="s">
        <v>26</v>
      </c>
      <c r="C42" s="23" t="s">
        <v>183</v>
      </c>
      <c r="D42" s="11" t="s">
        <v>214</v>
      </c>
      <c r="E42" s="11" t="s">
        <v>212</v>
      </c>
      <c r="F42" s="11" t="s">
        <v>213</v>
      </c>
      <c r="G42" s="11" t="s">
        <v>52</v>
      </c>
      <c r="H42" s="16" t="s">
        <v>34</v>
      </c>
      <c r="I42" s="17"/>
      <c r="J42" s="17"/>
      <c r="K42" s="29"/>
      <c r="L42" s="17"/>
      <c r="M42" s="17"/>
      <c r="N42" s="11"/>
      <c r="O42" s="11"/>
    </row>
    <row r="43" spans="1:15" ht="15" customHeight="1" x14ac:dyDescent="0.2">
      <c r="A43" s="19" t="s">
        <v>216</v>
      </c>
      <c r="B43" s="19" t="s">
        <v>217</v>
      </c>
      <c r="C43" s="23" t="s">
        <v>183</v>
      </c>
      <c r="D43" s="19" t="s">
        <v>218</v>
      </c>
      <c r="E43" s="19"/>
      <c r="F43" s="19"/>
      <c r="G43" s="11" t="s">
        <v>52</v>
      </c>
      <c r="H43" s="16" t="s">
        <v>34</v>
      </c>
      <c r="I43" s="17"/>
      <c r="J43" s="17"/>
      <c r="K43" s="29"/>
      <c r="L43" s="17"/>
      <c r="M43" s="17"/>
      <c r="N43" s="19"/>
      <c r="O43" s="19"/>
    </row>
    <row r="44" spans="1:15" ht="15" customHeight="1" x14ac:dyDescent="0.2">
      <c r="A44" s="11" t="s">
        <v>220</v>
      </c>
      <c r="B44" s="11" t="s">
        <v>221</v>
      </c>
      <c r="C44" s="24" t="s">
        <v>222</v>
      </c>
      <c r="D44" s="11" t="s">
        <v>44</v>
      </c>
      <c r="E44" s="11" t="s">
        <v>42</v>
      </c>
      <c r="F44" s="11" t="s">
        <v>43</v>
      </c>
      <c r="G44" s="15" t="s">
        <v>30</v>
      </c>
      <c r="H44" s="28" t="s">
        <v>34</v>
      </c>
      <c r="I44" s="17"/>
      <c r="J44" s="17"/>
      <c r="K44" s="29"/>
      <c r="L44" s="17"/>
      <c r="M44" s="17"/>
      <c r="N44" s="11"/>
      <c r="O44" s="11"/>
    </row>
    <row r="45" spans="1:15" ht="15" customHeight="1" x14ac:dyDescent="0.2">
      <c r="A45" s="19" t="s">
        <v>223</v>
      </c>
      <c r="B45" s="19" t="s">
        <v>224</v>
      </c>
      <c r="C45" s="24" t="s">
        <v>222</v>
      </c>
      <c r="D45" s="19" t="s">
        <v>227</v>
      </c>
      <c r="E45" s="19" t="s">
        <v>225</v>
      </c>
      <c r="F45" s="19" t="s">
        <v>226</v>
      </c>
      <c r="G45" s="15" t="s">
        <v>30</v>
      </c>
      <c r="H45" s="28" t="s">
        <v>34</v>
      </c>
      <c r="I45" s="17"/>
      <c r="J45" s="17"/>
      <c r="K45" s="29"/>
      <c r="L45" s="17"/>
      <c r="M45" s="17"/>
      <c r="N45" s="19"/>
      <c r="O45" s="19"/>
    </row>
    <row r="46" spans="1:15" ht="15" customHeight="1" x14ac:dyDescent="0.2">
      <c r="A46" s="11" t="s">
        <v>228</v>
      </c>
      <c r="B46" s="11" t="s">
        <v>229</v>
      </c>
      <c r="C46" s="24" t="s">
        <v>222</v>
      </c>
      <c r="D46" s="11" t="s">
        <v>232</v>
      </c>
      <c r="E46" s="11" t="s">
        <v>230</v>
      </c>
      <c r="F46" s="11" t="s">
        <v>231</v>
      </c>
      <c r="G46" s="15" t="s">
        <v>30</v>
      </c>
      <c r="H46" s="28" t="s">
        <v>34</v>
      </c>
      <c r="I46" s="17"/>
      <c r="J46" s="17"/>
      <c r="K46" s="29"/>
      <c r="L46" s="17"/>
      <c r="M46" s="17"/>
      <c r="N46" s="11"/>
      <c r="O46" s="11"/>
    </row>
    <row r="47" spans="1:15" ht="15" customHeight="1" x14ac:dyDescent="0.2">
      <c r="A47" s="19" t="s">
        <v>61</v>
      </c>
      <c r="B47" s="19" t="s">
        <v>62</v>
      </c>
      <c r="C47" s="24" t="s">
        <v>222</v>
      </c>
      <c r="D47" s="19" t="s">
        <v>64</v>
      </c>
      <c r="E47" s="19" t="s">
        <v>63</v>
      </c>
      <c r="F47" s="19"/>
      <c r="G47" s="15" t="s">
        <v>30</v>
      </c>
      <c r="H47" s="28" t="s">
        <v>34</v>
      </c>
      <c r="I47" s="17"/>
      <c r="J47" s="17"/>
      <c r="K47" s="29"/>
      <c r="L47" s="17"/>
      <c r="M47" s="17"/>
      <c r="N47" s="19"/>
      <c r="O47" s="19"/>
    </row>
    <row r="48" spans="1:15" ht="15" customHeight="1" x14ac:dyDescent="0.2">
      <c r="A48" s="11" t="s">
        <v>234</v>
      </c>
      <c r="B48" s="11" t="s">
        <v>235</v>
      </c>
      <c r="C48" s="24" t="s">
        <v>222</v>
      </c>
      <c r="D48" s="11" t="s">
        <v>238</v>
      </c>
      <c r="E48" s="11" t="s">
        <v>236</v>
      </c>
      <c r="F48" s="11" t="s">
        <v>237</v>
      </c>
      <c r="G48" s="21" t="s">
        <v>95</v>
      </c>
      <c r="H48" s="16" t="s">
        <v>34</v>
      </c>
      <c r="I48" s="17"/>
      <c r="J48" s="17"/>
      <c r="K48" s="29"/>
      <c r="L48" s="17"/>
      <c r="M48" s="17"/>
      <c r="N48" s="11"/>
      <c r="O48" s="11"/>
    </row>
    <row r="49" spans="1:15" ht="15" customHeight="1" x14ac:dyDescent="0.2">
      <c r="A49" s="19" t="s">
        <v>239</v>
      </c>
      <c r="B49" s="19" t="s">
        <v>240</v>
      </c>
      <c r="C49" s="24" t="s">
        <v>222</v>
      </c>
      <c r="D49" s="19" t="s">
        <v>243</v>
      </c>
      <c r="E49" s="19" t="s">
        <v>241</v>
      </c>
      <c r="F49" s="19" t="s">
        <v>242</v>
      </c>
      <c r="G49" s="11" t="s">
        <v>52</v>
      </c>
      <c r="H49" s="16" t="s">
        <v>34</v>
      </c>
      <c r="I49" s="17"/>
      <c r="J49" s="17"/>
      <c r="K49" s="29"/>
      <c r="L49" s="17"/>
      <c r="M49" s="17"/>
      <c r="N49" s="19"/>
      <c r="O49" s="19"/>
    </row>
    <row r="50" spans="1:15" ht="15" customHeight="1" x14ac:dyDescent="0.2">
      <c r="A50" s="11" t="s">
        <v>244</v>
      </c>
      <c r="B50" s="11" t="s">
        <v>100</v>
      </c>
      <c r="C50" s="24" t="s">
        <v>222</v>
      </c>
      <c r="D50" s="11" t="s">
        <v>247</v>
      </c>
      <c r="E50" s="11" t="s">
        <v>245</v>
      </c>
      <c r="F50" s="11" t="s">
        <v>246</v>
      </c>
      <c r="G50" s="11" t="s">
        <v>52</v>
      </c>
      <c r="H50" s="16" t="s">
        <v>34</v>
      </c>
      <c r="I50" s="17"/>
      <c r="J50" s="17"/>
      <c r="K50" s="29"/>
      <c r="L50" s="17"/>
      <c r="M50" s="17"/>
      <c r="N50" s="11"/>
      <c r="O50" s="11"/>
    </row>
    <row r="51" spans="1:15" ht="15" customHeight="1" x14ac:dyDescent="0.2">
      <c r="A51" s="19" t="s">
        <v>248</v>
      </c>
      <c r="B51" s="19" t="s">
        <v>249</v>
      </c>
      <c r="C51" s="24" t="s">
        <v>222</v>
      </c>
      <c r="D51" s="19" t="s">
        <v>252</v>
      </c>
      <c r="E51" s="19" t="s">
        <v>250</v>
      </c>
      <c r="F51" s="19" t="s">
        <v>251</v>
      </c>
      <c r="G51" s="11" t="s">
        <v>52</v>
      </c>
      <c r="H51" s="16" t="s">
        <v>34</v>
      </c>
      <c r="I51" s="17"/>
      <c r="J51" s="17"/>
      <c r="K51" s="29"/>
      <c r="L51" s="17"/>
      <c r="M51" s="17"/>
      <c r="N51" s="19"/>
      <c r="O51" s="19"/>
    </row>
    <row r="52" spans="1:15" ht="15" customHeight="1" x14ac:dyDescent="0.2">
      <c r="A52" s="11" t="s">
        <v>263</v>
      </c>
      <c r="B52" s="11" t="s">
        <v>264</v>
      </c>
      <c r="C52" s="24" t="s">
        <v>222</v>
      </c>
      <c r="D52" s="11" t="s">
        <v>267</v>
      </c>
      <c r="E52" s="11" t="s">
        <v>265</v>
      </c>
      <c r="F52" s="11" t="s">
        <v>266</v>
      </c>
      <c r="G52" s="21" t="s">
        <v>95</v>
      </c>
      <c r="H52" s="16" t="s">
        <v>34</v>
      </c>
      <c r="I52" s="17"/>
      <c r="J52" s="17"/>
      <c r="K52" s="29"/>
      <c r="L52" s="17"/>
      <c r="M52" s="17"/>
      <c r="N52" s="11"/>
      <c r="O52" s="11"/>
    </row>
    <row r="53" spans="1:15" ht="15" customHeight="1" x14ac:dyDescent="0.2">
      <c r="A53" s="19" t="s">
        <v>268</v>
      </c>
      <c r="B53" s="19" t="s">
        <v>81</v>
      </c>
      <c r="C53" s="24" t="s">
        <v>222</v>
      </c>
      <c r="D53" s="19" t="s">
        <v>271</v>
      </c>
      <c r="E53" s="19" t="s">
        <v>269</v>
      </c>
      <c r="F53" s="19" t="s">
        <v>270</v>
      </c>
      <c r="G53" s="11" t="s">
        <v>52</v>
      </c>
      <c r="H53" s="16" t="s">
        <v>34</v>
      </c>
      <c r="I53" s="17"/>
      <c r="J53" s="17"/>
      <c r="K53" s="29"/>
      <c r="L53" s="17"/>
      <c r="M53" s="17"/>
      <c r="N53" s="19"/>
      <c r="O53" s="19"/>
    </row>
    <row r="54" spans="1:15" ht="15" customHeight="1" x14ac:dyDescent="0.2">
      <c r="A54" s="11" t="s">
        <v>272</v>
      </c>
      <c r="B54" s="11" t="s">
        <v>57</v>
      </c>
      <c r="C54" s="24" t="s">
        <v>222</v>
      </c>
      <c r="D54" s="11" t="s">
        <v>275</v>
      </c>
      <c r="E54" s="11" t="s">
        <v>273</v>
      </c>
      <c r="F54" s="11" t="s">
        <v>274</v>
      </c>
      <c r="G54" s="11" t="s">
        <v>52</v>
      </c>
      <c r="H54" s="16" t="s">
        <v>34</v>
      </c>
      <c r="I54" s="17"/>
      <c r="J54" s="17"/>
      <c r="K54" s="29"/>
      <c r="L54" s="17"/>
      <c r="M54" s="17"/>
      <c r="N54" s="11"/>
      <c r="O54" s="11"/>
    </row>
    <row r="55" spans="1:15" ht="15" customHeight="1" x14ac:dyDescent="0.2">
      <c r="A55" s="19" t="s">
        <v>276</v>
      </c>
      <c r="B55" s="19" t="s">
        <v>277</v>
      </c>
      <c r="C55" s="24" t="s">
        <v>222</v>
      </c>
      <c r="D55" s="19" t="s">
        <v>280</v>
      </c>
      <c r="E55" s="19" t="s">
        <v>278</v>
      </c>
      <c r="F55" s="19" t="s">
        <v>279</v>
      </c>
      <c r="G55" s="11" t="s">
        <v>52</v>
      </c>
      <c r="H55" s="16" t="s">
        <v>34</v>
      </c>
      <c r="I55" s="17"/>
      <c r="J55" s="17"/>
      <c r="K55" s="29"/>
      <c r="L55" s="17"/>
      <c r="M55" s="17"/>
      <c r="N55" s="19"/>
      <c r="O55" s="19"/>
    </row>
    <row r="56" spans="1:15" ht="15" customHeight="1" x14ac:dyDescent="0.2">
      <c r="A56" s="11" t="s">
        <v>282</v>
      </c>
      <c r="B56" s="11" t="s">
        <v>283</v>
      </c>
      <c r="C56" s="25" t="s">
        <v>284</v>
      </c>
      <c r="D56" s="11" t="s">
        <v>287</v>
      </c>
      <c r="E56" s="11" t="s">
        <v>285</v>
      </c>
      <c r="F56" s="11" t="s">
        <v>286</v>
      </c>
      <c r="G56" s="11" t="s">
        <v>52</v>
      </c>
      <c r="H56" s="16" t="s">
        <v>34</v>
      </c>
      <c r="I56" s="17"/>
      <c r="J56" s="17"/>
      <c r="K56" s="29"/>
      <c r="L56" s="17"/>
      <c r="M56" s="17"/>
      <c r="N56" s="11"/>
      <c r="O56" s="11"/>
    </row>
    <row r="57" spans="1:15" ht="15" customHeight="1" x14ac:dyDescent="0.2">
      <c r="A57" s="19" t="s">
        <v>288</v>
      </c>
      <c r="B57" s="19" t="s">
        <v>289</v>
      </c>
      <c r="C57" s="25" t="s">
        <v>284</v>
      </c>
      <c r="D57" s="19" t="s">
        <v>292</v>
      </c>
      <c r="E57" s="19" t="s">
        <v>290</v>
      </c>
      <c r="F57" s="19" t="s">
        <v>291</v>
      </c>
      <c r="G57" s="21" t="s">
        <v>95</v>
      </c>
      <c r="H57" s="16" t="s">
        <v>34</v>
      </c>
      <c r="I57" s="17"/>
      <c r="J57" s="17"/>
      <c r="K57" s="29"/>
      <c r="L57" s="17"/>
      <c r="M57" s="17"/>
      <c r="N57" s="19"/>
      <c r="O57" s="19"/>
    </row>
    <row r="58" spans="1:15" ht="15" customHeight="1" x14ac:dyDescent="0.2">
      <c r="A58" s="11" t="s">
        <v>293</v>
      </c>
      <c r="B58" s="11" t="s">
        <v>294</v>
      </c>
      <c r="C58" s="25" t="s">
        <v>284</v>
      </c>
      <c r="D58" s="11" t="s">
        <v>295</v>
      </c>
      <c r="E58" s="11" t="s">
        <v>314</v>
      </c>
      <c r="F58" s="11"/>
      <c r="G58" s="11" t="s">
        <v>52</v>
      </c>
      <c r="H58" s="16" t="s">
        <v>34</v>
      </c>
      <c r="I58" s="17"/>
      <c r="J58" s="17"/>
      <c r="K58" s="29"/>
      <c r="L58" s="17"/>
      <c r="M58" s="17"/>
      <c r="N58" s="11"/>
      <c r="O58" s="11"/>
    </row>
    <row r="59" spans="1:15" ht="12" customHeight="1" x14ac:dyDescent="0.2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</row>
    <row r="60" spans="1:15" ht="15.75" customHeight="1" x14ac:dyDescent="0.2">
      <c r="A60" s="119" t="s">
        <v>315</v>
      </c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</row>
    <row r="61" spans="1:15" ht="15" customHeight="1" x14ac:dyDescent="0.2">
      <c r="A61" s="19" t="s">
        <v>316</v>
      </c>
      <c r="B61" s="19" t="s">
        <v>165</v>
      </c>
      <c r="C61" s="22" t="s">
        <v>122</v>
      </c>
      <c r="D61" s="19" t="s">
        <v>317</v>
      </c>
      <c r="E61" s="19"/>
      <c r="F61" s="19"/>
      <c r="G61" s="31" t="s">
        <v>318</v>
      </c>
      <c r="H61" s="31" t="s">
        <v>319</v>
      </c>
      <c r="I61" s="17"/>
      <c r="J61" s="17"/>
      <c r="K61" s="29"/>
      <c r="L61" s="17"/>
      <c r="M61" s="17"/>
      <c r="N61" s="19"/>
      <c r="O61" s="19"/>
    </row>
    <row r="62" spans="1:15" ht="15" customHeight="1" x14ac:dyDescent="0.2">
      <c r="A62" s="11" t="s">
        <v>320</v>
      </c>
      <c r="B62" s="11" t="s">
        <v>321</v>
      </c>
      <c r="C62" s="20" t="s">
        <v>89</v>
      </c>
      <c r="D62" s="11" t="s">
        <v>322</v>
      </c>
      <c r="E62" s="11"/>
      <c r="F62" s="11"/>
      <c r="G62" s="31" t="s">
        <v>318</v>
      </c>
      <c r="H62" s="31" t="s">
        <v>319</v>
      </c>
      <c r="I62" s="17"/>
      <c r="J62" s="17"/>
      <c r="K62" s="29"/>
      <c r="L62" s="17"/>
      <c r="M62" s="17"/>
      <c r="N62" s="11"/>
      <c r="O62" s="11"/>
    </row>
    <row r="63" spans="1:15" ht="15" customHeight="1" x14ac:dyDescent="0.2">
      <c r="A63" s="19" t="s">
        <v>323</v>
      </c>
      <c r="B63" s="19" t="s">
        <v>324</v>
      </c>
      <c r="C63" s="24" t="s">
        <v>222</v>
      </c>
      <c r="D63" s="19" t="s">
        <v>325</v>
      </c>
      <c r="E63" s="19"/>
      <c r="F63" s="19"/>
      <c r="G63" s="31" t="s">
        <v>318</v>
      </c>
      <c r="H63" s="31" t="s">
        <v>319</v>
      </c>
      <c r="I63" s="17"/>
      <c r="J63" s="17"/>
      <c r="K63" s="29"/>
      <c r="L63" s="17"/>
      <c r="M63" s="17"/>
      <c r="N63" s="19"/>
      <c r="O63" s="19"/>
    </row>
    <row r="64" spans="1:15" ht="15" customHeight="1" x14ac:dyDescent="0.2">
      <c r="A64" s="11" t="s">
        <v>326</v>
      </c>
      <c r="B64" s="11" t="s">
        <v>327</v>
      </c>
      <c r="C64" s="11"/>
      <c r="D64" s="11" t="s">
        <v>328</v>
      </c>
      <c r="E64" s="11"/>
      <c r="F64" s="11"/>
      <c r="G64" s="31" t="s">
        <v>318</v>
      </c>
      <c r="H64" s="31" t="s">
        <v>319</v>
      </c>
      <c r="I64" s="17"/>
      <c r="J64" s="17"/>
      <c r="K64" s="29"/>
      <c r="L64" s="17"/>
      <c r="M64" s="17"/>
      <c r="N64" s="11"/>
      <c r="O64" s="11"/>
    </row>
    <row r="65" spans="1:15" ht="15" customHeight="1" x14ac:dyDescent="0.2">
      <c r="A65" s="19" t="s">
        <v>329</v>
      </c>
      <c r="B65" s="19" t="s">
        <v>330</v>
      </c>
      <c r="C65" s="23" t="s">
        <v>183</v>
      </c>
      <c r="D65" s="19" t="s">
        <v>331</v>
      </c>
      <c r="E65" s="19"/>
      <c r="F65" s="19"/>
      <c r="G65" s="31" t="s">
        <v>318</v>
      </c>
      <c r="H65" s="31" t="s">
        <v>319</v>
      </c>
      <c r="I65" s="17"/>
      <c r="J65" s="17"/>
      <c r="K65" s="29"/>
      <c r="L65" s="17"/>
      <c r="M65" s="17"/>
      <c r="N65" s="19"/>
      <c r="O65" s="19"/>
    </row>
    <row r="66" spans="1:15" ht="15" customHeight="1" x14ac:dyDescent="0.2">
      <c r="A66" s="11" t="s">
        <v>332</v>
      </c>
      <c r="B66" s="11" t="s">
        <v>81</v>
      </c>
      <c r="C66" s="12" t="s">
        <v>27</v>
      </c>
      <c r="D66" s="11" t="s">
        <v>333</v>
      </c>
      <c r="E66" s="11"/>
      <c r="F66" s="11"/>
      <c r="G66" s="31" t="s">
        <v>318</v>
      </c>
      <c r="H66" s="31" t="s">
        <v>319</v>
      </c>
      <c r="I66" s="17"/>
      <c r="J66" s="17"/>
      <c r="K66" s="29"/>
      <c r="L66" s="17"/>
      <c r="M66" s="17"/>
      <c r="N66" s="11"/>
      <c r="O66" s="11"/>
    </row>
    <row r="67" spans="1:15" ht="15" customHeight="1" x14ac:dyDescent="0.2">
      <c r="A67" s="19" t="s">
        <v>334</v>
      </c>
      <c r="B67" s="19" t="s">
        <v>335</v>
      </c>
      <c r="C67" s="20" t="s">
        <v>89</v>
      </c>
      <c r="D67" s="19" t="s">
        <v>336</v>
      </c>
      <c r="E67" s="19"/>
      <c r="F67" s="19"/>
      <c r="G67" s="31" t="s">
        <v>318</v>
      </c>
      <c r="H67" s="31" t="s">
        <v>319</v>
      </c>
      <c r="I67" s="17"/>
      <c r="J67" s="17"/>
      <c r="K67" s="29"/>
      <c r="L67" s="17"/>
      <c r="M67" s="17"/>
      <c r="N67" s="19"/>
      <c r="O67" s="19"/>
    </row>
    <row r="68" spans="1:15" ht="15" customHeight="1" x14ac:dyDescent="0.2">
      <c r="A68" s="11" t="s">
        <v>337</v>
      </c>
      <c r="B68" s="11" t="s">
        <v>81</v>
      </c>
      <c r="C68" s="11"/>
      <c r="D68" s="11" t="s">
        <v>338</v>
      </c>
      <c r="E68" s="11"/>
      <c r="F68" s="11"/>
      <c r="G68" s="31" t="s">
        <v>318</v>
      </c>
      <c r="H68" s="31" t="s">
        <v>319</v>
      </c>
      <c r="I68" s="17"/>
      <c r="J68" s="17"/>
      <c r="K68" s="29"/>
      <c r="L68" s="17"/>
      <c r="M68" s="17"/>
      <c r="N68" s="11"/>
      <c r="O68" s="11"/>
    </row>
    <row r="69" spans="1:15" ht="15" customHeight="1" x14ac:dyDescent="0.2">
      <c r="A69" s="19" t="s">
        <v>339</v>
      </c>
      <c r="B69" s="19" t="s">
        <v>340</v>
      </c>
      <c r="C69" s="19"/>
      <c r="D69" s="19" t="s">
        <v>341</v>
      </c>
      <c r="E69" s="19"/>
      <c r="F69" s="19"/>
      <c r="G69" s="31" t="s">
        <v>318</v>
      </c>
      <c r="H69" s="31" t="s">
        <v>319</v>
      </c>
      <c r="I69" s="17"/>
      <c r="J69" s="17"/>
      <c r="K69" s="29"/>
      <c r="L69" s="17"/>
      <c r="M69" s="17"/>
      <c r="N69" s="19"/>
      <c r="O69" s="19"/>
    </row>
    <row r="70" spans="1:15" ht="15" customHeight="1" x14ac:dyDescent="0.2">
      <c r="A70" s="11" t="s">
        <v>342</v>
      </c>
      <c r="B70" s="11" t="s">
        <v>327</v>
      </c>
      <c r="C70" s="11"/>
      <c r="D70" s="11" t="s">
        <v>343</v>
      </c>
      <c r="E70" s="11"/>
      <c r="F70" s="11"/>
      <c r="G70" s="31" t="s">
        <v>318</v>
      </c>
      <c r="H70" s="31" t="s">
        <v>319</v>
      </c>
      <c r="I70" s="17"/>
      <c r="J70" s="17"/>
      <c r="K70" s="29"/>
      <c r="L70" s="17"/>
      <c r="M70" s="17"/>
      <c r="N70" s="11"/>
      <c r="O70" s="11"/>
    </row>
    <row r="71" spans="1:15" ht="15" customHeight="1" x14ac:dyDescent="0.2">
      <c r="A71" s="19" t="s">
        <v>327</v>
      </c>
      <c r="B71" s="19" t="s">
        <v>327</v>
      </c>
      <c r="C71" s="19"/>
      <c r="D71" s="19" t="s">
        <v>344</v>
      </c>
      <c r="E71" s="19"/>
      <c r="F71" s="19"/>
      <c r="G71" s="31" t="s">
        <v>318</v>
      </c>
      <c r="H71" s="31" t="s">
        <v>319</v>
      </c>
      <c r="I71" s="17"/>
      <c r="J71" s="17"/>
      <c r="K71" s="29"/>
      <c r="L71" s="17"/>
      <c r="M71" s="17"/>
      <c r="N71" s="19"/>
      <c r="O71" s="19"/>
    </row>
    <row r="72" spans="1:15" ht="15" customHeight="1" x14ac:dyDescent="0.2">
      <c r="A72" s="11" t="s">
        <v>345</v>
      </c>
      <c r="B72" s="11" t="s">
        <v>346</v>
      </c>
      <c r="C72" s="20" t="s">
        <v>89</v>
      </c>
      <c r="D72" s="11" t="s">
        <v>347</v>
      </c>
      <c r="E72" s="11"/>
      <c r="F72" s="11"/>
      <c r="G72" s="31" t="s">
        <v>318</v>
      </c>
      <c r="H72" s="31" t="s">
        <v>319</v>
      </c>
      <c r="I72" s="17"/>
      <c r="J72" s="17"/>
      <c r="K72" s="29"/>
      <c r="L72" s="17"/>
      <c r="M72" s="17"/>
      <c r="N72" s="11"/>
      <c r="O72" s="11"/>
    </row>
    <row r="73" spans="1:15" ht="15" customHeight="1" x14ac:dyDescent="0.2">
      <c r="A73" s="19" t="s">
        <v>348</v>
      </c>
      <c r="B73" s="19" t="s">
        <v>327</v>
      </c>
      <c r="C73" s="19"/>
      <c r="D73" s="19" t="s">
        <v>349</v>
      </c>
      <c r="E73" s="19"/>
      <c r="F73" s="19"/>
      <c r="G73" s="31" t="s">
        <v>318</v>
      </c>
      <c r="H73" s="31" t="s">
        <v>319</v>
      </c>
      <c r="I73" s="17"/>
      <c r="J73" s="17"/>
      <c r="K73" s="29"/>
      <c r="L73" s="17"/>
      <c r="M73" s="17"/>
      <c r="N73" s="19"/>
      <c r="O73" s="19"/>
    </row>
    <row r="74" spans="1:15" ht="15" customHeight="1" x14ac:dyDescent="0.2">
      <c r="A74" s="11" t="s">
        <v>350</v>
      </c>
      <c r="B74" s="11" t="s">
        <v>249</v>
      </c>
      <c r="C74" s="24" t="s">
        <v>222</v>
      </c>
      <c r="D74" s="11" t="s">
        <v>351</v>
      </c>
      <c r="E74" s="11"/>
      <c r="F74" s="11"/>
      <c r="G74" s="31" t="s">
        <v>318</v>
      </c>
      <c r="H74" s="31" t="s">
        <v>319</v>
      </c>
      <c r="I74" s="17"/>
      <c r="J74" s="17"/>
      <c r="K74" s="29"/>
      <c r="L74" s="17"/>
      <c r="M74" s="17"/>
      <c r="N74" s="11"/>
      <c r="O74" s="11"/>
    </row>
    <row r="75" spans="1:15" ht="15" customHeight="1" x14ac:dyDescent="0.2">
      <c r="A75" s="19" t="s">
        <v>352</v>
      </c>
      <c r="B75" s="19" t="s">
        <v>353</v>
      </c>
      <c r="C75" s="19"/>
      <c r="D75" s="19" t="s">
        <v>354</v>
      </c>
      <c r="E75" s="19"/>
      <c r="F75" s="19"/>
      <c r="G75" s="31" t="s">
        <v>318</v>
      </c>
      <c r="H75" s="31" t="s">
        <v>319</v>
      </c>
      <c r="I75" s="17"/>
      <c r="J75" s="17"/>
      <c r="K75" s="29"/>
      <c r="L75" s="17"/>
      <c r="M75" s="17"/>
      <c r="N75" s="19"/>
      <c r="O75" s="19"/>
    </row>
    <row r="76" spans="1:15" ht="15" customHeight="1" x14ac:dyDescent="0.2">
      <c r="A76" s="11" t="s">
        <v>355</v>
      </c>
      <c r="B76" s="11" t="s">
        <v>327</v>
      </c>
      <c r="C76" s="11"/>
      <c r="D76" s="11" t="s">
        <v>356</v>
      </c>
      <c r="E76" s="11"/>
      <c r="F76" s="11"/>
      <c r="G76" s="31" t="s">
        <v>318</v>
      </c>
      <c r="H76" s="31" t="s">
        <v>319</v>
      </c>
      <c r="I76" s="17"/>
      <c r="J76" s="17"/>
      <c r="K76" s="29"/>
      <c r="L76" s="17"/>
      <c r="M76" s="17"/>
      <c r="N76" s="11"/>
      <c r="O76" s="11"/>
    </row>
    <row r="77" spans="1:15" ht="15" customHeight="1" x14ac:dyDescent="0.2">
      <c r="A77" s="19" t="s">
        <v>357</v>
      </c>
      <c r="B77" s="19" t="s">
        <v>327</v>
      </c>
      <c r="C77" s="19"/>
      <c r="D77" s="19" t="s">
        <v>358</v>
      </c>
      <c r="E77" s="19"/>
      <c r="F77" s="19"/>
      <c r="G77" s="31" t="s">
        <v>318</v>
      </c>
      <c r="H77" s="31" t="s">
        <v>319</v>
      </c>
      <c r="I77" s="17"/>
      <c r="J77" s="17"/>
      <c r="K77" s="29"/>
      <c r="L77" s="17"/>
      <c r="M77" s="17"/>
      <c r="N77" s="19"/>
      <c r="O77" s="19"/>
    </row>
    <row r="78" spans="1:15" ht="15" customHeight="1" x14ac:dyDescent="0.2">
      <c r="A78" s="11" t="s">
        <v>359</v>
      </c>
      <c r="B78" s="11" t="s">
        <v>327</v>
      </c>
      <c r="C78" s="11"/>
      <c r="D78" s="11" t="s">
        <v>360</v>
      </c>
      <c r="E78" s="11"/>
      <c r="F78" s="11"/>
      <c r="G78" s="31" t="s">
        <v>318</v>
      </c>
      <c r="H78" s="31" t="s">
        <v>319</v>
      </c>
      <c r="I78" s="17"/>
      <c r="J78" s="17"/>
      <c r="K78" s="29"/>
      <c r="L78" s="17"/>
      <c r="M78" s="17"/>
      <c r="N78" s="11"/>
      <c r="O78" s="11"/>
    </row>
    <row r="79" spans="1:15" ht="15" customHeight="1" x14ac:dyDescent="0.2">
      <c r="A79" s="19" t="s">
        <v>361</v>
      </c>
      <c r="B79" s="19" t="s">
        <v>57</v>
      </c>
      <c r="C79" s="24" t="s">
        <v>222</v>
      </c>
      <c r="D79" s="19" t="s">
        <v>362</v>
      </c>
      <c r="E79" s="19"/>
      <c r="F79" s="19"/>
      <c r="G79" s="31" t="s">
        <v>318</v>
      </c>
      <c r="H79" s="31" t="s">
        <v>319</v>
      </c>
      <c r="I79" s="17"/>
      <c r="J79" s="17"/>
      <c r="K79" s="29"/>
      <c r="L79" s="17"/>
      <c r="M79" s="17"/>
      <c r="N79" s="19"/>
      <c r="O79" s="19"/>
    </row>
    <row r="80" spans="1:15" ht="15" customHeight="1" x14ac:dyDescent="0.2">
      <c r="A80" s="11" t="s">
        <v>363</v>
      </c>
      <c r="B80" s="11" t="s">
        <v>81</v>
      </c>
      <c r="C80" s="12" t="s">
        <v>27</v>
      </c>
      <c r="D80" s="11" t="s">
        <v>364</v>
      </c>
      <c r="E80" s="11"/>
      <c r="F80" s="11"/>
      <c r="G80" s="31" t="s">
        <v>318</v>
      </c>
      <c r="H80" s="31" t="s">
        <v>319</v>
      </c>
      <c r="I80" s="17"/>
      <c r="J80" s="17"/>
      <c r="K80" s="29"/>
      <c r="L80" s="17"/>
      <c r="M80" s="17"/>
      <c r="N80" s="11"/>
      <c r="O80" s="11"/>
    </row>
    <row r="81" spans="1:15" ht="15" customHeight="1" x14ac:dyDescent="0.2">
      <c r="A81" s="19" t="s">
        <v>365</v>
      </c>
      <c r="B81" s="19" t="s">
        <v>113</v>
      </c>
      <c r="C81" s="24" t="s">
        <v>222</v>
      </c>
      <c r="D81" s="19" t="s">
        <v>366</v>
      </c>
      <c r="E81" s="19"/>
      <c r="F81" s="19"/>
      <c r="G81" s="31" t="s">
        <v>318</v>
      </c>
      <c r="H81" s="31" t="s">
        <v>319</v>
      </c>
      <c r="I81" s="17"/>
      <c r="J81" s="17"/>
      <c r="K81" s="29"/>
      <c r="L81" s="17"/>
      <c r="M81" s="17"/>
      <c r="N81" s="19"/>
      <c r="O81" s="19"/>
    </row>
    <row r="82" spans="1:15" ht="15" customHeight="1" x14ac:dyDescent="0.2">
      <c r="A82" s="11" t="s">
        <v>367</v>
      </c>
      <c r="B82" s="11" t="s">
        <v>327</v>
      </c>
      <c r="C82" s="11"/>
      <c r="D82" s="11" t="s">
        <v>368</v>
      </c>
      <c r="E82" s="11"/>
      <c r="F82" s="11"/>
      <c r="G82" s="31" t="s">
        <v>318</v>
      </c>
      <c r="H82" s="31" t="s">
        <v>319</v>
      </c>
      <c r="I82" s="17"/>
      <c r="J82" s="17"/>
      <c r="K82" s="29"/>
      <c r="L82" s="17"/>
      <c r="M82" s="17"/>
      <c r="N82" s="11"/>
      <c r="O82" s="11"/>
    </row>
    <row r="83" spans="1:15" ht="15" customHeight="1" x14ac:dyDescent="0.2">
      <c r="A83" s="19" t="s">
        <v>369</v>
      </c>
      <c r="B83" s="19" t="s">
        <v>327</v>
      </c>
      <c r="C83" s="19"/>
      <c r="D83" s="19" t="s">
        <v>370</v>
      </c>
      <c r="E83" s="19"/>
      <c r="F83" s="19"/>
      <c r="G83" s="31" t="s">
        <v>318</v>
      </c>
      <c r="H83" s="31" t="s">
        <v>319</v>
      </c>
      <c r="I83" s="17"/>
      <c r="J83" s="17"/>
      <c r="K83" s="29"/>
      <c r="L83" s="17"/>
      <c r="M83" s="17"/>
      <c r="N83" s="19"/>
      <c r="O83" s="19"/>
    </row>
    <row r="84" spans="1:15" ht="15" customHeight="1" x14ac:dyDescent="0.2">
      <c r="A84" s="11" t="s">
        <v>371</v>
      </c>
      <c r="B84" s="11" t="s">
        <v>327</v>
      </c>
      <c r="C84" s="11"/>
      <c r="D84" s="11" t="s">
        <v>372</v>
      </c>
      <c r="E84" s="11"/>
      <c r="F84" s="11"/>
      <c r="G84" s="31" t="s">
        <v>318</v>
      </c>
      <c r="H84" s="31" t="s">
        <v>319</v>
      </c>
      <c r="I84" s="17"/>
      <c r="J84" s="17"/>
      <c r="K84" s="29"/>
      <c r="L84" s="17"/>
      <c r="M84" s="17"/>
      <c r="N84" s="11"/>
      <c r="O84" s="11"/>
    </row>
    <row r="85" spans="1:15" ht="15" customHeight="1" x14ac:dyDescent="0.2">
      <c r="A85" s="19" t="s">
        <v>373</v>
      </c>
      <c r="B85" s="19" t="s">
        <v>374</v>
      </c>
      <c r="C85" s="19"/>
      <c r="D85" s="19" t="s">
        <v>375</v>
      </c>
      <c r="E85" s="19"/>
      <c r="F85" s="19"/>
      <c r="G85" s="31" t="s">
        <v>318</v>
      </c>
      <c r="H85" s="31" t="s">
        <v>319</v>
      </c>
      <c r="I85" s="17"/>
      <c r="J85" s="17"/>
      <c r="K85" s="29"/>
      <c r="L85" s="17"/>
      <c r="M85" s="17"/>
      <c r="N85" s="19"/>
      <c r="O85" s="19"/>
    </row>
    <row r="86" spans="1:15" ht="15" customHeight="1" x14ac:dyDescent="0.2">
      <c r="A86" s="11" t="s">
        <v>376</v>
      </c>
      <c r="B86" s="11" t="s">
        <v>81</v>
      </c>
      <c r="C86" s="11"/>
      <c r="D86" s="11" t="s">
        <v>377</v>
      </c>
      <c r="E86" s="11"/>
      <c r="F86" s="11"/>
      <c r="G86" s="31" t="s">
        <v>318</v>
      </c>
      <c r="H86" s="31" t="s">
        <v>319</v>
      </c>
      <c r="I86" s="17"/>
      <c r="J86" s="17"/>
      <c r="K86" s="29"/>
      <c r="L86" s="17"/>
      <c r="M86" s="17"/>
      <c r="N86" s="11"/>
      <c r="O86" s="11"/>
    </row>
    <row r="87" spans="1:15" ht="15" customHeight="1" x14ac:dyDescent="0.2">
      <c r="A87" s="19" t="s">
        <v>378</v>
      </c>
      <c r="B87" s="19" t="s">
        <v>327</v>
      </c>
      <c r="C87" s="19"/>
      <c r="D87" s="19" t="s">
        <v>379</v>
      </c>
      <c r="E87" s="19"/>
      <c r="F87" s="19"/>
      <c r="G87" s="31" t="s">
        <v>318</v>
      </c>
      <c r="H87" s="31" t="s">
        <v>319</v>
      </c>
      <c r="I87" s="17"/>
      <c r="J87" s="17"/>
      <c r="K87" s="29"/>
      <c r="L87" s="17"/>
      <c r="M87" s="17"/>
      <c r="N87" s="19"/>
      <c r="O87" s="19"/>
    </row>
    <row r="88" spans="1:15" ht="15" customHeight="1" x14ac:dyDescent="0.2">
      <c r="A88" s="11" t="s">
        <v>380</v>
      </c>
      <c r="B88" s="11" t="s">
        <v>327</v>
      </c>
      <c r="C88" s="11"/>
      <c r="D88" s="11" t="s">
        <v>381</v>
      </c>
      <c r="E88" s="11"/>
      <c r="F88" s="11"/>
      <c r="G88" s="31" t="s">
        <v>318</v>
      </c>
      <c r="H88" s="31" t="s">
        <v>319</v>
      </c>
      <c r="I88" s="17"/>
      <c r="J88" s="17"/>
      <c r="K88" s="29"/>
      <c r="L88" s="17"/>
      <c r="M88" s="17"/>
      <c r="N88" s="11"/>
      <c r="O88" s="11"/>
    </row>
    <row r="89" spans="1:15" ht="15" customHeight="1" x14ac:dyDescent="0.2">
      <c r="A89" s="19" t="s">
        <v>382</v>
      </c>
      <c r="B89" s="19" t="s">
        <v>81</v>
      </c>
      <c r="C89" s="22" t="s">
        <v>122</v>
      </c>
      <c r="D89" s="19" t="s">
        <v>383</v>
      </c>
      <c r="E89" s="19"/>
      <c r="F89" s="19"/>
      <c r="G89" s="31" t="s">
        <v>318</v>
      </c>
      <c r="H89" s="31" t="s">
        <v>319</v>
      </c>
      <c r="I89" s="17"/>
      <c r="J89" s="17"/>
      <c r="K89" s="29"/>
      <c r="L89" s="17"/>
      <c r="M89" s="17"/>
      <c r="N89" s="19"/>
      <c r="O89" s="19"/>
    </row>
    <row r="90" spans="1:15" ht="15" customHeight="1" x14ac:dyDescent="0.2">
      <c r="A90" s="11" t="s">
        <v>384</v>
      </c>
      <c r="B90" s="11" t="s">
        <v>41</v>
      </c>
      <c r="C90" s="12" t="s">
        <v>27</v>
      </c>
      <c r="D90" s="11" t="s">
        <v>385</v>
      </c>
      <c r="E90" s="11"/>
      <c r="F90" s="11"/>
      <c r="G90" s="31" t="s">
        <v>318</v>
      </c>
      <c r="H90" s="31" t="s">
        <v>319</v>
      </c>
      <c r="I90" s="17"/>
      <c r="J90" s="17"/>
      <c r="K90" s="29"/>
      <c r="L90" s="17"/>
      <c r="M90" s="17"/>
      <c r="N90" s="11"/>
      <c r="O90" s="11"/>
    </row>
    <row r="91" spans="1:15" ht="15" customHeight="1" x14ac:dyDescent="0.2">
      <c r="A91" s="19" t="s">
        <v>386</v>
      </c>
      <c r="B91" s="19" t="s">
        <v>387</v>
      </c>
      <c r="C91" s="22" t="s">
        <v>122</v>
      </c>
      <c r="D91" s="19" t="s">
        <v>388</v>
      </c>
      <c r="E91" s="19"/>
      <c r="F91" s="19"/>
      <c r="G91" s="31" t="s">
        <v>318</v>
      </c>
      <c r="H91" s="31" t="s">
        <v>319</v>
      </c>
      <c r="I91" s="17"/>
      <c r="J91" s="17"/>
      <c r="K91" s="29"/>
      <c r="L91" s="17"/>
      <c r="M91" s="17"/>
      <c r="N91" s="19"/>
      <c r="O91" s="19"/>
    </row>
    <row r="92" spans="1:15" ht="15" customHeight="1" x14ac:dyDescent="0.2">
      <c r="A92" s="11" t="s">
        <v>389</v>
      </c>
      <c r="B92" s="11" t="s">
        <v>88</v>
      </c>
      <c r="C92" s="20" t="s">
        <v>89</v>
      </c>
      <c r="D92" s="11" t="s">
        <v>390</v>
      </c>
      <c r="E92" s="11"/>
      <c r="F92" s="11"/>
      <c r="G92" s="31" t="s">
        <v>318</v>
      </c>
      <c r="H92" s="31" t="s">
        <v>319</v>
      </c>
      <c r="I92" s="17"/>
      <c r="J92" s="17"/>
      <c r="K92" s="29"/>
      <c r="L92" s="17"/>
      <c r="M92" s="17"/>
      <c r="N92" s="11"/>
      <c r="O92" s="11"/>
    </row>
    <row r="93" spans="1:15" ht="15" customHeight="1" x14ac:dyDescent="0.2">
      <c r="A93" s="19" t="s">
        <v>391</v>
      </c>
      <c r="B93" s="19" t="s">
        <v>392</v>
      </c>
      <c r="C93" s="23" t="s">
        <v>183</v>
      </c>
      <c r="D93" s="19" t="s">
        <v>393</v>
      </c>
      <c r="E93" s="19"/>
      <c r="F93" s="19"/>
      <c r="G93" s="31" t="s">
        <v>318</v>
      </c>
      <c r="H93" s="31" t="s">
        <v>319</v>
      </c>
      <c r="I93" s="17"/>
      <c r="J93" s="17"/>
      <c r="K93" s="29"/>
      <c r="L93" s="17"/>
      <c r="M93" s="17"/>
      <c r="N93" s="19"/>
      <c r="O93" s="19"/>
    </row>
    <row r="94" spans="1:15" ht="15" customHeight="1" x14ac:dyDescent="0.2">
      <c r="A94" s="11" t="s">
        <v>394</v>
      </c>
      <c r="B94" s="11" t="s">
        <v>395</v>
      </c>
      <c r="C94" s="23" t="s">
        <v>183</v>
      </c>
      <c r="D94" s="11" t="s">
        <v>396</v>
      </c>
      <c r="E94" s="11"/>
      <c r="F94" s="11"/>
      <c r="G94" s="31" t="s">
        <v>318</v>
      </c>
      <c r="H94" s="31" t="s">
        <v>319</v>
      </c>
      <c r="I94" s="17"/>
      <c r="J94" s="17"/>
      <c r="K94" s="29"/>
      <c r="L94" s="17"/>
      <c r="M94" s="17"/>
      <c r="N94" s="11"/>
      <c r="O94" s="11"/>
    </row>
    <row r="95" spans="1:15" ht="15" customHeight="1" x14ac:dyDescent="0.2">
      <c r="A95" s="19" t="s">
        <v>397</v>
      </c>
      <c r="B95" s="19" t="s">
        <v>398</v>
      </c>
      <c r="C95" s="23" t="s">
        <v>183</v>
      </c>
      <c r="D95" s="19" t="s">
        <v>399</v>
      </c>
      <c r="E95" s="19"/>
      <c r="F95" s="19"/>
      <c r="G95" s="31" t="s">
        <v>318</v>
      </c>
      <c r="H95" s="31" t="s">
        <v>319</v>
      </c>
      <c r="I95" s="17"/>
      <c r="J95" s="17"/>
      <c r="K95" s="29"/>
      <c r="L95" s="17"/>
      <c r="M95" s="17"/>
      <c r="N95" s="19"/>
      <c r="O95" s="19"/>
    </row>
    <row r="96" spans="1:15" ht="15" customHeight="1" x14ac:dyDescent="0.2">
      <c r="A96" s="11" t="s">
        <v>400</v>
      </c>
      <c r="B96" s="11" t="s">
        <v>156</v>
      </c>
      <c r="C96" s="22" t="s">
        <v>122</v>
      </c>
      <c r="D96" s="11" t="s">
        <v>401</v>
      </c>
      <c r="E96" s="11"/>
      <c r="F96" s="11"/>
      <c r="G96" s="31" t="s">
        <v>318</v>
      </c>
      <c r="H96" s="31" t="s">
        <v>319</v>
      </c>
      <c r="I96" s="17"/>
      <c r="J96" s="17"/>
      <c r="K96" s="29"/>
      <c r="L96" s="17"/>
      <c r="M96" s="17"/>
      <c r="N96" s="11"/>
      <c r="O96" s="11"/>
    </row>
    <row r="97" spans="1:15" ht="15" customHeight="1" x14ac:dyDescent="0.2">
      <c r="A97" s="19" t="s">
        <v>402</v>
      </c>
      <c r="B97" s="19" t="s">
        <v>403</v>
      </c>
      <c r="C97" s="19"/>
      <c r="D97" s="19" t="s">
        <v>404</v>
      </c>
      <c r="E97" s="19"/>
      <c r="F97" s="19"/>
      <c r="G97" s="31" t="s">
        <v>318</v>
      </c>
      <c r="H97" s="31" t="s">
        <v>319</v>
      </c>
      <c r="I97" s="17"/>
      <c r="J97" s="17"/>
      <c r="K97" s="29"/>
      <c r="L97" s="17"/>
      <c r="M97" s="17"/>
      <c r="N97" s="19"/>
      <c r="O97" s="19"/>
    </row>
    <row r="98" spans="1:15" ht="15" customHeight="1" x14ac:dyDescent="0.2">
      <c r="A98" s="11" t="s">
        <v>405</v>
      </c>
      <c r="B98" s="11" t="s">
        <v>327</v>
      </c>
      <c r="C98" s="24" t="s">
        <v>222</v>
      </c>
      <c r="D98" s="11" t="s">
        <v>406</v>
      </c>
      <c r="E98" s="11"/>
      <c r="F98" s="11"/>
      <c r="G98" s="31" t="s">
        <v>318</v>
      </c>
      <c r="H98" s="31" t="s">
        <v>319</v>
      </c>
      <c r="I98" s="17"/>
      <c r="J98" s="17"/>
      <c r="K98" s="29"/>
      <c r="L98" s="17"/>
      <c r="M98" s="17"/>
      <c r="N98" s="11"/>
      <c r="O98" s="11"/>
    </row>
    <row r="99" spans="1:15" ht="15" customHeight="1" x14ac:dyDescent="0.2">
      <c r="A99" s="19" t="s">
        <v>407</v>
      </c>
      <c r="B99" s="19" t="s">
        <v>408</v>
      </c>
      <c r="C99" s="20" t="s">
        <v>89</v>
      </c>
      <c r="D99" s="19" t="s">
        <v>409</v>
      </c>
      <c r="E99" s="19"/>
      <c r="F99" s="19"/>
      <c r="G99" s="31" t="s">
        <v>318</v>
      </c>
      <c r="H99" s="31" t="s">
        <v>319</v>
      </c>
      <c r="I99" s="17"/>
      <c r="J99" s="17"/>
      <c r="K99" s="29"/>
      <c r="L99" s="17"/>
      <c r="M99" s="17"/>
      <c r="N99" s="19"/>
      <c r="O99" s="19"/>
    </row>
    <row r="100" spans="1:15" ht="15" customHeight="1" x14ac:dyDescent="0.2">
      <c r="A100" s="11" t="s">
        <v>410</v>
      </c>
      <c r="B100" s="11" t="s">
        <v>327</v>
      </c>
      <c r="C100" s="11"/>
      <c r="D100" s="11" t="s">
        <v>411</v>
      </c>
      <c r="E100" s="11"/>
      <c r="F100" s="11"/>
      <c r="G100" s="31" t="s">
        <v>318</v>
      </c>
      <c r="H100" s="31" t="s">
        <v>319</v>
      </c>
      <c r="I100" s="17"/>
      <c r="J100" s="17"/>
      <c r="K100" s="29"/>
      <c r="L100" s="17"/>
      <c r="M100" s="17"/>
      <c r="N100" s="11"/>
      <c r="O100" s="11"/>
    </row>
    <row r="101" spans="1:15" ht="15" customHeight="1" x14ac:dyDescent="0.2">
      <c r="A101" s="19" t="s">
        <v>412</v>
      </c>
      <c r="B101" s="19" t="s">
        <v>327</v>
      </c>
      <c r="C101" s="19"/>
      <c r="D101" s="19" t="s">
        <v>413</v>
      </c>
      <c r="E101" s="19"/>
      <c r="F101" s="19"/>
      <c r="G101" s="31" t="s">
        <v>318</v>
      </c>
      <c r="H101" s="31" t="s">
        <v>319</v>
      </c>
      <c r="I101" s="17"/>
      <c r="J101" s="17"/>
      <c r="K101" s="29"/>
      <c r="L101" s="17"/>
      <c r="M101" s="17"/>
      <c r="N101" s="19"/>
      <c r="O101" s="19"/>
    </row>
    <row r="102" spans="1:15" ht="15" customHeight="1" x14ac:dyDescent="0.2">
      <c r="A102" s="11" t="s">
        <v>414</v>
      </c>
      <c r="B102" s="11" t="s">
        <v>415</v>
      </c>
      <c r="C102" s="11"/>
      <c r="D102" s="11" t="s">
        <v>416</v>
      </c>
      <c r="E102" s="11"/>
      <c r="F102" s="11"/>
      <c r="G102" s="31" t="s">
        <v>318</v>
      </c>
      <c r="H102" s="31" t="s">
        <v>319</v>
      </c>
      <c r="I102" s="17"/>
      <c r="J102" s="17"/>
      <c r="K102" s="29"/>
      <c r="L102" s="17"/>
      <c r="M102" s="17"/>
      <c r="N102" s="11"/>
      <c r="O102" s="11"/>
    </row>
    <row r="103" spans="1:15" ht="15" customHeight="1" x14ac:dyDescent="0.2">
      <c r="A103" s="19" t="s">
        <v>417</v>
      </c>
      <c r="B103" s="19" t="s">
        <v>327</v>
      </c>
      <c r="C103" s="19"/>
      <c r="D103" s="19" t="s">
        <v>418</v>
      </c>
      <c r="E103" s="19"/>
      <c r="F103" s="19"/>
      <c r="G103" s="31" t="s">
        <v>318</v>
      </c>
      <c r="H103" s="31" t="s">
        <v>319</v>
      </c>
      <c r="I103" s="17"/>
      <c r="J103" s="17"/>
      <c r="K103" s="29"/>
      <c r="L103" s="17"/>
      <c r="M103" s="17"/>
      <c r="N103" s="19"/>
      <c r="O103" s="19"/>
    </row>
    <row r="104" spans="1:15" ht="15" customHeight="1" x14ac:dyDescent="0.2">
      <c r="A104" s="11" t="s">
        <v>419</v>
      </c>
      <c r="B104" s="11" t="s">
        <v>420</v>
      </c>
      <c r="C104" s="11"/>
      <c r="D104" s="11" t="s">
        <v>421</v>
      </c>
      <c r="E104" s="11"/>
      <c r="F104" s="11"/>
      <c r="G104" s="31" t="s">
        <v>318</v>
      </c>
      <c r="H104" s="31" t="s">
        <v>319</v>
      </c>
      <c r="I104" s="17"/>
      <c r="J104" s="17"/>
      <c r="K104" s="29"/>
      <c r="L104" s="17"/>
      <c r="M104" s="17"/>
      <c r="N104" s="11"/>
      <c r="O104" s="11"/>
    </row>
    <row r="105" spans="1:15" ht="15" customHeight="1" x14ac:dyDescent="0.2">
      <c r="A105" s="19" t="s">
        <v>422</v>
      </c>
      <c r="B105" s="19" t="s">
        <v>57</v>
      </c>
      <c r="C105" s="19"/>
      <c r="D105" s="19" t="s">
        <v>423</v>
      </c>
      <c r="E105" s="19"/>
      <c r="F105" s="19"/>
      <c r="G105" s="31" t="s">
        <v>318</v>
      </c>
      <c r="H105" s="31" t="s">
        <v>319</v>
      </c>
      <c r="I105" s="17"/>
      <c r="J105" s="17"/>
      <c r="K105" s="29"/>
      <c r="L105" s="17"/>
      <c r="M105" s="17"/>
      <c r="N105" s="19"/>
      <c r="O105" s="19"/>
    </row>
    <row r="106" spans="1:15" ht="15" customHeight="1" x14ac:dyDescent="0.2">
      <c r="A106" s="11" t="s">
        <v>424</v>
      </c>
      <c r="B106" s="11" t="s">
        <v>425</v>
      </c>
      <c r="C106" s="11"/>
      <c r="D106" s="11" t="s">
        <v>426</v>
      </c>
      <c r="E106" s="11"/>
      <c r="F106" s="11"/>
      <c r="G106" s="31" t="s">
        <v>318</v>
      </c>
      <c r="H106" s="31" t="s">
        <v>319</v>
      </c>
      <c r="I106" s="17"/>
      <c r="J106" s="17"/>
      <c r="K106" s="29"/>
      <c r="L106" s="17"/>
      <c r="M106" s="17"/>
      <c r="N106" s="11"/>
      <c r="O106" s="11"/>
    </row>
    <row r="107" spans="1:15" ht="15" customHeight="1" x14ac:dyDescent="0.2">
      <c r="A107" s="19" t="s">
        <v>427</v>
      </c>
      <c r="B107" s="19" t="s">
        <v>428</v>
      </c>
      <c r="C107" s="19"/>
      <c r="D107" s="19" t="s">
        <v>429</v>
      </c>
      <c r="E107" s="19"/>
      <c r="F107" s="19"/>
      <c r="G107" s="31" t="s">
        <v>318</v>
      </c>
      <c r="H107" s="31" t="s">
        <v>319</v>
      </c>
      <c r="I107" s="17"/>
      <c r="J107" s="17"/>
      <c r="K107" s="29"/>
      <c r="L107" s="17"/>
      <c r="M107" s="17"/>
      <c r="N107" s="19"/>
      <c r="O107" s="19"/>
    </row>
    <row r="108" spans="1:15" ht="15" customHeight="1" x14ac:dyDescent="0.2">
      <c r="A108" s="11" t="s">
        <v>430</v>
      </c>
      <c r="B108" s="11" t="s">
        <v>431</v>
      </c>
      <c r="C108" s="11"/>
      <c r="D108" s="11" t="s">
        <v>432</v>
      </c>
      <c r="E108" s="11"/>
      <c r="F108" s="11"/>
      <c r="G108" s="31" t="s">
        <v>318</v>
      </c>
      <c r="H108" s="31" t="s">
        <v>319</v>
      </c>
      <c r="I108" s="17"/>
      <c r="J108" s="17"/>
      <c r="K108" s="29"/>
      <c r="L108" s="17"/>
      <c r="M108" s="17"/>
      <c r="N108" s="11"/>
      <c r="O108" s="11"/>
    </row>
    <row r="109" spans="1:15" ht="15" customHeight="1" x14ac:dyDescent="0.2">
      <c r="A109" s="19" t="s">
        <v>433</v>
      </c>
      <c r="B109" s="19" t="s">
        <v>327</v>
      </c>
      <c r="C109" s="19"/>
      <c r="D109" s="19" t="s">
        <v>434</v>
      </c>
      <c r="E109" s="19"/>
      <c r="F109" s="19"/>
      <c r="G109" s="31" t="s">
        <v>318</v>
      </c>
      <c r="H109" s="31" t="s">
        <v>319</v>
      </c>
      <c r="I109" s="17"/>
      <c r="J109" s="17"/>
      <c r="K109" s="29"/>
      <c r="L109" s="17"/>
      <c r="M109" s="17"/>
      <c r="N109" s="19"/>
      <c r="O109" s="19"/>
    </row>
    <row r="110" spans="1:15" ht="15" customHeight="1" x14ac:dyDescent="0.2">
      <c r="A110" s="11" t="s">
        <v>435</v>
      </c>
      <c r="B110" s="11" t="s">
        <v>327</v>
      </c>
      <c r="C110" s="11"/>
      <c r="D110" s="11" t="s">
        <v>436</v>
      </c>
      <c r="E110" s="11"/>
      <c r="F110" s="11"/>
      <c r="G110" s="31" t="s">
        <v>318</v>
      </c>
      <c r="H110" s="31" t="s">
        <v>319</v>
      </c>
      <c r="I110" s="17"/>
      <c r="J110" s="17"/>
      <c r="K110" s="29"/>
      <c r="L110" s="17"/>
      <c r="M110" s="17"/>
      <c r="N110" s="11"/>
      <c r="O110" s="11"/>
    </row>
    <row r="111" spans="1:15" ht="15" customHeight="1" x14ac:dyDescent="0.2">
      <c r="A111" s="19" t="s">
        <v>437</v>
      </c>
      <c r="B111" s="19" t="s">
        <v>327</v>
      </c>
      <c r="C111" s="19"/>
      <c r="D111" s="19" t="s">
        <v>438</v>
      </c>
      <c r="E111" s="19"/>
      <c r="F111" s="19"/>
      <c r="G111" s="31" t="s">
        <v>318</v>
      </c>
      <c r="H111" s="31" t="s">
        <v>319</v>
      </c>
      <c r="I111" s="17"/>
      <c r="J111" s="17"/>
      <c r="K111" s="29"/>
      <c r="L111" s="17"/>
      <c r="M111" s="17"/>
      <c r="N111" s="19"/>
      <c r="O111" s="19"/>
    </row>
    <row r="112" spans="1:15" ht="15" customHeight="1" x14ac:dyDescent="0.2">
      <c r="A112" s="11" t="s">
        <v>439</v>
      </c>
      <c r="B112" s="11" t="s">
        <v>113</v>
      </c>
      <c r="C112" s="11"/>
      <c r="D112" s="11" t="s">
        <v>440</v>
      </c>
      <c r="E112" s="11"/>
      <c r="F112" s="11"/>
      <c r="G112" s="31" t="s">
        <v>318</v>
      </c>
      <c r="H112" s="31" t="s">
        <v>319</v>
      </c>
      <c r="I112" s="17"/>
      <c r="J112" s="17"/>
      <c r="K112" s="29"/>
      <c r="L112" s="17"/>
      <c r="M112" s="17"/>
      <c r="N112" s="11"/>
      <c r="O112" s="11"/>
    </row>
    <row r="113" spans="1:15" ht="15" customHeight="1" x14ac:dyDescent="0.2">
      <c r="A113" s="19" t="s">
        <v>441</v>
      </c>
      <c r="B113" s="19" t="s">
        <v>442</v>
      </c>
      <c r="C113" s="19"/>
      <c r="D113" s="19" t="s">
        <v>443</v>
      </c>
      <c r="E113" s="19"/>
      <c r="F113" s="19"/>
      <c r="G113" s="31" t="s">
        <v>318</v>
      </c>
      <c r="H113" s="31" t="s">
        <v>319</v>
      </c>
      <c r="I113" s="17"/>
      <c r="J113" s="17"/>
      <c r="K113" s="29"/>
      <c r="L113" s="17"/>
      <c r="M113" s="17"/>
      <c r="N113" s="19"/>
      <c r="O113" s="19"/>
    </row>
    <row r="114" spans="1:15" ht="15" customHeight="1" x14ac:dyDescent="0.2">
      <c r="A114" s="11" t="s">
        <v>444</v>
      </c>
      <c r="B114" s="11" t="s">
        <v>277</v>
      </c>
      <c r="C114" s="11"/>
      <c r="D114" s="11" t="s">
        <v>445</v>
      </c>
      <c r="E114" s="11"/>
      <c r="F114" s="11"/>
      <c r="G114" s="31" t="s">
        <v>318</v>
      </c>
      <c r="H114" s="31" t="s">
        <v>319</v>
      </c>
      <c r="I114" s="17"/>
      <c r="J114" s="17"/>
      <c r="K114" s="29"/>
      <c r="L114" s="17"/>
      <c r="M114" s="17"/>
      <c r="N114" s="11"/>
      <c r="O114" s="11"/>
    </row>
  </sheetData>
  <mergeCells count="6">
    <mergeCell ref="A60:O60"/>
    <mergeCell ref="A1:O1"/>
    <mergeCell ref="A2:D2"/>
    <mergeCell ref="E2:F2"/>
    <mergeCell ref="I2:J2"/>
    <mergeCell ref="L2:O2"/>
  </mergeCells>
  <dataValidations count="4">
    <dataValidation type="list" allowBlank="1" sqref="H4:H115" xr:uid="{00000000-0002-0000-0100-000000000000}">
      <formula1>"À contacter,Contacté,Confirmé,Relance,Annulé,Prospect mailing"</formula1>
      <formula2>0</formula2>
    </dataValidation>
    <dataValidation type="list" allowBlank="1" sqref="I4:J115" xr:uid="{00000000-0002-0000-0100-000001000000}">
      <formula1>"✓,–"</formula1>
      <formula2>0</formula2>
    </dataValidation>
    <dataValidation type="list" allowBlank="1" sqref="K4:K115" xr:uid="{00000000-0002-0000-0100-000002000000}">
      <formula1>"Oui,Non,À envoyer"</formula1>
      <formula2>0</formula2>
    </dataValidation>
    <dataValidation type="list" allowBlank="1" sqref="L4:M115" xr:uid="{00000000-0002-0000-0100-000003000000}">
      <formula1>"Oui,Non,En cours"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zoomScaleNormal="100" workbookViewId="0">
      <selection sqref="A1:I1"/>
    </sheetView>
  </sheetViews>
  <sheetFormatPr baseColWidth="10" defaultColWidth="8.6640625" defaultRowHeight="15" x14ac:dyDescent="0.2"/>
  <cols>
    <col min="1" max="1" width="16" customWidth="1"/>
    <col min="2" max="6" width="8" customWidth="1"/>
    <col min="7" max="7" width="14" customWidth="1"/>
    <col min="8" max="8" width="12" customWidth="1"/>
    <col min="9" max="9" width="14" customWidth="1"/>
  </cols>
  <sheetData>
    <row r="1" spans="1:9" ht="25.5" customHeight="1" x14ac:dyDescent="0.2">
      <c r="A1" s="121" t="s">
        <v>446</v>
      </c>
      <c r="B1" s="121"/>
      <c r="C1" s="121"/>
      <c r="D1" s="121"/>
      <c r="E1" s="121"/>
      <c r="F1" s="121"/>
      <c r="G1" s="121"/>
      <c r="H1" s="121"/>
      <c r="I1" s="121"/>
    </row>
    <row r="2" spans="1:9" ht="27.75" customHeight="1" x14ac:dyDescent="0.2">
      <c r="A2" s="4" t="s">
        <v>306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32" t="s">
        <v>447</v>
      </c>
      <c r="H2" s="8" t="s">
        <v>448</v>
      </c>
      <c r="I2" s="9" t="s">
        <v>449</v>
      </c>
    </row>
    <row r="3" spans="1:9" ht="21.75" customHeight="1" x14ac:dyDescent="0.2">
      <c r="A3" s="33" t="s">
        <v>89</v>
      </c>
      <c r="B3" s="34">
        <v>10</v>
      </c>
      <c r="C3" s="34">
        <v>5</v>
      </c>
      <c r="D3" s="34">
        <v>5</v>
      </c>
      <c r="E3" s="34">
        <v>7</v>
      </c>
      <c r="F3" s="34">
        <v>12</v>
      </c>
      <c r="G3" s="35">
        <v>8</v>
      </c>
      <c r="H3" s="36">
        <v>15</v>
      </c>
      <c r="I3" s="37">
        <f t="shared" ref="I3:I8" si="0">H3-F3</f>
        <v>3</v>
      </c>
    </row>
    <row r="4" spans="1:9" ht="21.75" customHeight="1" x14ac:dyDescent="0.2">
      <c r="A4" s="38" t="s">
        <v>122</v>
      </c>
      <c r="B4" s="39">
        <v>8</v>
      </c>
      <c r="C4" s="39">
        <v>9</v>
      </c>
      <c r="D4" s="39">
        <v>10</v>
      </c>
      <c r="E4" s="39">
        <v>9</v>
      </c>
      <c r="F4" s="39">
        <v>13</v>
      </c>
      <c r="G4" s="35">
        <v>16</v>
      </c>
      <c r="H4" s="36">
        <v>15</v>
      </c>
      <c r="I4" s="37">
        <f t="shared" si="0"/>
        <v>2</v>
      </c>
    </row>
    <row r="5" spans="1:9" ht="21.75" customHeight="1" x14ac:dyDescent="0.2">
      <c r="A5" s="40" t="s">
        <v>183</v>
      </c>
      <c r="B5" s="34">
        <v>4</v>
      </c>
      <c r="C5" s="34">
        <v>5</v>
      </c>
      <c r="D5" s="34">
        <v>9</v>
      </c>
      <c r="E5" s="34">
        <v>9</v>
      </c>
      <c r="F5" s="34">
        <v>15</v>
      </c>
      <c r="G5" s="35">
        <v>11</v>
      </c>
      <c r="H5" s="36">
        <v>15</v>
      </c>
      <c r="I5" s="37">
        <f t="shared" si="0"/>
        <v>0</v>
      </c>
    </row>
    <row r="6" spans="1:9" ht="21.75" customHeight="1" x14ac:dyDescent="0.2">
      <c r="A6" s="41" t="s">
        <v>222</v>
      </c>
      <c r="B6" s="39">
        <v>9</v>
      </c>
      <c r="C6" s="39">
        <v>5</v>
      </c>
      <c r="D6" s="39">
        <v>9</v>
      </c>
      <c r="E6" s="39">
        <v>13</v>
      </c>
      <c r="F6" s="39">
        <v>10</v>
      </c>
      <c r="G6" s="35">
        <v>20</v>
      </c>
      <c r="H6" s="36">
        <v>15</v>
      </c>
      <c r="I6" s="37">
        <f t="shared" si="0"/>
        <v>5</v>
      </c>
    </row>
    <row r="7" spans="1:9" ht="21.75" customHeight="1" x14ac:dyDescent="0.2">
      <c r="A7" s="42" t="s">
        <v>284</v>
      </c>
      <c r="B7" s="34">
        <v>4</v>
      </c>
      <c r="C7" s="34">
        <v>2</v>
      </c>
      <c r="D7" s="34">
        <v>0</v>
      </c>
      <c r="E7" s="34">
        <v>0</v>
      </c>
      <c r="F7" s="34">
        <v>0</v>
      </c>
      <c r="G7" s="35">
        <v>5</v>
      </c>
      <c r="H7" s="36">
        <v>8</v>
      </c>
      <c r="I7" s="37">
        <f t="shared" si="0"/>
        <v>8</v>
      </c>
    </row>
    <row r="8" spans="1:9" ht="21.75" customHeight="1" x14ac:dyDescent="0.2">
      <c r="A8" s="43" t="s">
        <v>27</v>
      </c>
      <c r="B8" s="39">
        <v>0</v>
      </c>
      <c r="C8" s="39">
        <v>1</v>
      </c>
      <c r="D8" s="39">
        <v>5</v>
      </c>
      <c r="E8" s="39">
        <v>3</v>
      </c>
      <c r="F8" s="39">
        <v>12</v>
      </c>
      <c r="G8" s="35">
        <v>12</v>
      </c>
      <c r="H8" s="36">
        <v>15</v>
      </c>
      <c r="I8" s="37">
        <f t="shared" si="0"/>
        <v>3</v>
      </c>
    </row>
    <row r="9" spans="1:9" ht="21.75" customHeight="1" x14ac:dyDescent="0.2">
      <c r="A9" s="44" t="s">
        <v>450</v>
      </c>
      <c r="B9" s="45">
        <v>35</v>
      </c>
      <c r="C9" s="45">
        <v>27</v>
      </c>
      <c r="D9" s="45">
        <v>38</v>
      </c>
      <c r="E9" s="45">
        <v>41</v>
      </c>
      <c r="F9" s="45">
        <v>62</v>
      </c>
      <c r="G9" s="45">
        <v>72</v>
      </c>
      <c r="H9" s="45">
        <v>83</v>
      </c>
      <c r="I9" s="45"/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zoomScaleNormal="100" workbookViewId="0">
      <selection sqref="A1:D1"/>
    </sheetView>
  </sheetViews>
  <sheetFormatPr baseColWidth="10" defaultColWidth="8.6640625" defaultRowHeight="15" x14ac:dyDescent="0.2"/>
  <cols>
    <col min="1" max="1" width="20" customWidth="1"/>
    <col min="2" max="2" width="32" customWidth="1"/>
    <col min="3" max="3" width="20" customWidth="1"/>
    <col min="4" max="4" width="32" customWidth="1"/>
  </cols>
  <sheetData>
    <row r="1" spans="1:4" ht="25.5" customHeight="1" x14ac:dyDescent="0.2">
      <c r="A1" s="121" t="s">
        <v>451</v>
      </c>
      <c r="B1" s="121"/>
      <c r="C1" s="121"/>
      <c r="D1" s="121"/>
    </row>
    <row r="3" spans="1:4" ht="15" customHeight="1" x14ac:dyDescent="0.2">
      <c r="A3" s="123" t="s">
        <v>452</v>
      </c>
      <c r="B3" s="123"/>
      <c r="C3" s="124" t="s">
        <v>3</v>
      </c>
      <c r="D3" s="124"/>
    </row>
    <row r="4" spans="1:4" ht="15" customHeight="1" x14ac:dyDescent="0.2">
      <c r="A4" s="46" t="s">
        <v>89</v>
      </c>
      <c r="B4" s="47" t="s">
        <v>453</v>
      </c>
      <c r="C4" s="48" t="s">
        <v>30</v>
      </c>
      <c r="D4" s="47" t="s">
        <v>454</v>
      </c>
    </row>
    <row r="5" spans="1:4" ht="15" customHeight="1" x14ac:dyDescent="0.2">
      <c r="A5" s="49" t="s">
        <v>122</v>
      </c>
      <c r="B5" s="47" t="s">
        <v>455</v>
      </c>
      <c r="C5" s="50" t="s">
        <v>95</v>
      </c>
      <c r="D5" s="47" t="s">
        <v>456</v>
      </c>
    </row>
    <row r="6" spans="1:4" ht="15" customHeight="1" x14ac:dyDescent="0.2">
      <c r="A6" s="51" t="s">
        <v>183</v>
      </c>
      <c r="B6" s="47" t="s">
        <v>457</v>
      </c>
      <c r="C6" s="52" t="s">
        <v>52</v>
      </c>
      <c r="D6" s="47" t="s">
        <v>458</v>
      </c>
    </row>
    <row r="7" spans="1:4" ht="15" customHeight="1" x14ac:dyDescent="0.2">
      <c r="A7" s="53" t="s">
        <v>222</v>
      </c>
      <c r="B7" s="47" t="s">
        <v>459</v>
      </c>
    </row>
    <row r="8" spans="1:4" ht="15" customHeight="1" x14ac:dyDescent="0.2">
      <c r="A8" s="54" t="s">
        <v>284</v>
      </c>
      <c r="B8" s="47" t="s">
        <v>460</v>
      </c>
    </row>
    <row r="9" spans="1:4" ht="15" customHeight="1" x14ac:dyDescent="0.2">
      <c r="A9" s="55" t="s">
        <v>27</v>
      </c>
      <c r="B9" s="47" t="s">
        <v>461</v>
      </c>
    </row>
    <row r="11" spans="1:4" ht="15" customHeight="1" x14ac:dyDescent="0.2">
      <c r="A11" s="125" t="s">
        <v>462</v>
      </c>
      <c r="B11" s="125"/>
      <c r="C11" s="125"/>
      <c r="D11" s="125"/>
    </row>
    <row r="12" spans="1:4" ht="15" customHeight="1" x14ac:dyDescent="0.2">
      <c r="A12" s="56" t="s">
        <v>34</v>
      </c>
      <c r="B12" s="57"/>
      <c r="C12" s="122" t="s">
        <v>463</v>
      </c>
      <c r="D12" s="122"/>
    </row>
    <row r="13" spans="1:4" ht="15" customHeight="1" x14ac:dyDescent="0.2">
      <c r="A13" s="58" t="s">
        <v>464</v>
      </c>
      <c r="B13" s="57"/>
      <c r="C13" s="122" t="s">
        <v>465</v>
      </c>
      <c r="D13" s="122"/>
    </row>
    <row r="14" spans="1:4" ht="15" customHeight="1" x14ac:dyDescent="0.2">
      <c r="A14" s="59" t="s">
        <v>466</v>
      </c>
      <c r="B14" s="57"/>
      <c r="C14" s="122" t="s">
        <v>467</v>
      </c>
      <c r="D14" s="122"/>
    </row>
    <row r="15" spans="1:4" ht="15" customHeight="1" x14ac:dyDescent="0.2">
      <c r="A15" s="60" t="s">
        <v>468</v>
      </c>
      <c r="B15" s="57"/>
      <c r="C15" s="122" t="s">
        <v>469</v>
      </c>
      <c r="D15" s="122"/>
    </row>
    <row r="16" spans="1:4" ht="15" customHeight="1" x14ac:dyDescent="0.2">
      <c r="A16" s="61" t="s">
        <v>470</v>
      </c>
      <c r="B16" s="57"/>
      <c r="C16" s="122" t="s">
        <v>471</v>
      </c>
      <c r="D16" s="122"/>
    </row>
  </sheetData>
  <mergeCells count="9">
    <mergeCell ref="C13:D13"/>
    <mergeCell ref="C14:D14"/>
    <mergeCell ref="C15:D15"/>
    <mergeCell ref="C16:D16"/>
    <mergeCell ref="A1:D1"/>
    <mergeCell ref="A3:B3"/>
    <mergeCell ref="C3:D3"/>
    <mergeCell ref="A11:D11"/>
    <mergeCell ref="C12:D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📋 BASE EXPOSANTS (2)</vt:lpstr>
      <vt:lpstr>📋 BASE EXPOSANTS</vt:lpstr>
      <vt:lpstr>📞 PROSPECTION 2026</vt:lpstr>
      <vt:lpstr>📍 RÉCAP SITES</vt:lpstr>
      <vt:lpstr>🗂 LÉGENDE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teva.geros@aracom-conseil.fr</cp:lastModifiedBy>
  <cp:revision>0</cp:revision>
  <cp:lastPrinted>2026-06-17T22:55:04Z</cp:lastPrinted>
  <dcterms:created xsi:type="dcterms:W3CDTF">2026-06-08T18:55:05Z</dcterms:created>
  <dcterms:modified xsi:type="dcterms:W3CDTF">2026-06-18T22:23:33Z</dcterms:modified>
  <dc:language>en-US</dc:language>
</cp:coreProperties>
</file>
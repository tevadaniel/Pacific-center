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teva/Desktop/"/>
    </mc:Choice>
  </mc:AlternateContent>
  <xr:revisionPtr revIDLastSave="0" documentId="13_ncr:1_{BDF88F83-F60F-EE4C-BCAF-4D398F80F95F}" xr6:coauthVersionLast="47" xr6:coauthVersionMax="47" xr10:uidLastSave="{00000000-0000-0000-0000-000000000000}"/>
  <bookViews>
    <workbookView xWindow="0" yWindow="600" windowWidth="35280" windowHeight="28200" xr2:uid="{00000000-000D-0000-FFFF-FFFF00000000}"/>
  </bookViews>
  <sheets>
    <sheet name="📋 BASE EXPOSANTS (2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 a="1"/>
  <c r="A16" i="1" s="1"/>
  <c r="A17" i="1" s="1" a="1"/>
  <c r="A17" i="1" s="1"/>
  <c r="A18" i="1" s="1" a="1"/>
  <c r="A18" i="1" s="1"/>
  <c r="A19" i="1" s="1" a="1"/>
  <c r="A19" i="1" s="1"/>
  <c r="A20" i="1" s="1" a="1"/>
  <c r="A20" i="1" s="1"/>
  <c r="A21" i="1" s="1" a="1"/>
  <c r="A21" i="1" s="1"/>
  <c r="A22" i="1" s="1" a="1"/>
  <c r="A22" i="1" s="1"/>
  <c r="A23" i="1" s="1" a="1"/>
  <c r="A23" i="1" s="1"/>
  <c r="A24" i="1" s="1" a="1"/>
  <c r="A24" i="1" s="1"/>
  <c r="A25" i="1" s="1" a="1"/>
  <c r="A25" i="1" s="1"/>
  <c r="A26" i="1" s="1" a="1"/>
  <c r="A26" i="1" s="1"/>
  <c r="A27" i="1" s="1" a="1"/>
  <c r="A27" i="1" s="1"/>
  <c r="A28" i="1" s="1" a="1"/>
  <c r="A28" i="1" s="1"/>
  <c r="A29" i="1" s="1" a="1"/>
  <c r="A29" i="1" s="1"/>
  <c r="A30" i="1" s="1" a="1"/>
  <c r="A30" i="1" s="1"/>
  <c r="A31" i="1" s="1" a="1"/>
  <c r="A31" i="1" s="1"/>
  <c r="A32" i="1" s="1" a="1"/>
  <c r="A32" i="1" s="1"/>
  <c r="A33" i="1" s="1" a="1"/>
  <c r="A33" i="1" s="1"/>
  <c r="A34" i="1" s="1" a="1"/>
  <c r="A34" i="1" s="1"/>
  <c r="A35" i="1" s="1" a="1"/>
  <c r="A35" i="1" s="1"/>
  <c r="A36" i="1" s="1" a="1"/>
  <c r="A36" i="1" s="1"/>
  <c r="A37" i="1" s="1" a="1"/>
  <c r="A37" i="1" s="1"/>
  <c r="A38" i="1" s="1" a="1"/>
  <c r="A38" i="1" s="1"/>
  <c r="A39" i="1" s="1" a="1"/>
  <c r="A39" i="1" s="1"/>
  <c r="A40" i="1" s="1" a="1"/>
  <c r="A40" i="1" s="1"/>
  <c r="A41" i="1" s="1" a="1"/>
  <c r="A41" i="1" s="1"/>
  <c r="A42" i="1" s="1" a="1"/>
  <c r="A42" i="1" s="1"/>
  <c r="A43" i="1" s="1" a="1"/>
  <c r="A43" i="1" s="1"/>
  <c r="A44" i="1" s="1" a="1"/>
  <c r="A44" i="1" s="1"/>
  <c r="A45" i="1" s="1" a="1"/>
  <c r="A45" i="1" s="1"/>
  <c r="A46" i="1" s="1" a="1"/>
  <c r="A46" i="1" s="1"/>
  <c r="A47" i="1" s="1" a="1"/>
  <c r="A47" i="1" s="1"/>
  <c r="A48" i="1" s="1" a="1"/>
  <c r="A48" i="1" s="1"/>
  <c r="A49" i="1" s="1" a="1"/>
  <c r="A49" i="1" s="1"/>
  <c r="A50" i="1" s="1" a="1"/>
  <c r="A50" i="1" s="1"/>
  <c r="A51" i="1" s="1" a="1"/>
  <c r="A51" i="1" s="1"/>
  <c r="A52" i="1" s="1" a="1"/>
  <c r="A52" i="1" s="1"/>
  <c r="A53" i="1" s="1" a="1"/>
  <c r="A53" i="1" s="1"/>
  <c r="A54" i="1" s="1" a="1"/>
  <c r="A54" i="1" s="1"/>
  <c r="A55" i="1" s="1" a="1"/>
  <c r="A55" i="1" s="1"/>
  <c r="A56" i="1" s="1" a="1"/>
  <c r="A56" i="1" s="1"/>
  <c r="A57" i="1" s="1" a="1"/>
  <c r="A57" i="1" s="1"/>
  <c r="A58" i="1" s="1" a="1"/>
  <c r="A58" i="1" s="1"/>
  <c r="A59" i="1" s="1" a="1"/>
  <c r="A59" i="1" s="1"/>
  <c r="A60" i="1" s="1" a="1"/>
  <c r="A60" i="1" s="1"/>
  <c r="A61" i="1" s="1" a="1"/>
  <c r="A61" i="1" s="1"/>
  <c r="A62" i="1" s="1" a="1"/>
  <c r="A62" i="1" s="1"/>
  <c r="A63" i="1" s="1" a="1"/>
  <c r="A63" i="1" s="1"/>
  <c r="A64" i="1" s="1" a="1"/>
  <c r="A64" i="1" s="1"/>
  <c r="A65" i="1" s="1" a="1"/>
  <c r="A65" i="1" s="1"/>
  <c r="A66" i="1" s="1" a="1"/>
  <c r="A66" i="1" s="1"/>
  <c r="A67" i="1" s="1" a="1"/>
  <c r="A67" i="1" s="1"/>
  <c r="A68" i="1" s="1" a="1"/>
  <c r="A68" i="1" s="1"/>
  <c r="A69" i="1" s="1" a="1"/>
  <c r="A69" i="1" s="1"/>
  <c r="A70" i="1" s="1" a="1"/>
  <c r="A70" i="1" s="1"/>
  <c r="A71" i="1" s="1" a="1"/>
  <c r="A71" i="1" s="1"/>
  <c r="A72" i="1" s="1" a="1"/>
  <c r="A72" i="1" s="1"/>
  <c r="A73" i="1" s="1" a="1"/>
  <c r="A73" i="1" s="1"/>
  <c r="A74" i="1" s="1" a="1"/>
  <c r="A74" i="1" s="1"/>
  <c r="A75" i="1" s="1" a="1"/>
  <c r="A75" i="1" s="1"/>
  <c r="A76" i="1" s="1" a="1"/>
  <c r="A76" i="1" s="1"/>
  <c r="A77" i="1" s="1" a="1"/>
  <c r="A77" i="1" s="1"/>
  <c r="A78" i="1" s="1" a="1"/>
  <c r="A78" i="1" s="1"/>
  <c r="A79" i="1" s="1" a="1"/>
  <c r="A79" i="1" s="1"/>
  <c r="A80" i="1" s="1" a="1"/>
  <c r="A80" i="1" s="1"/>
  <c r="A81" i="1" s="1" a="1"/>
  <c r="A81" i="1" s="1"/>
  <c r="A82" i="1" s="1" a="1"/>
  <c r="A82" i="1" s="1"/>
  <c r="A83" i="1" s="1" a="1"/>
  <c r="A83" i="1" s="1"/>
  <c r="A84" i="1" s="1" a="1"/>
  <c r="A84" i="1" s="1"/>
  <c r="A85" i="1" s="1" a="1"/>
  <c r="A85" i="1" s="1"/>
  <c r="A86" i="1" s="1" a="1"/>
  <c r="A86" i="1" s="1"/>
  <c r="A87" i="1" s="1" a="1"/>
  <c r="A87" i="1" s="1"/>
  <c r="A88" i="1" s="1" a="1"/>
  <c r="A88" i="1" s="1"/>
  <c r="A89" i="1" s="1" a="1"/>
  <c r="A89" i="1" s="1"/>
  <c r="A90" i="1" s="1" a="1"/>
  <c r="A90" i="1" s="1"/>
  <c r="A91" i="1" s="1" a="1"/>
  <c r="A91" i="1" s="1"/>
  <c r="A92" i="1" s="1" a="1"/>
  <c r="A92" i="1" s="1"/>
  <c r="A93" i="1" s="1" a="1"/>
  <c r="A93" i="1" s="1"/>
  <c r="A10" i="1" a="1"/>
  <c r="A10" i="1" s="1"/>
  <c r="A11" i="1" s="1" a="1"/>
  <c r="A11" i="1" s="1"/>
  <c r="A12" i="1" s="1" a="1"/>
  <c r="A12" i="1" s="1"/>
  <c r="A13" i="1" s="1" a="1"/>
  <c r="A13" i="1" s="1"/>
  <c r="A7" i="1" a="1"/>
  <c r="A7" i="1" s="1"/>
  <c r="A8" i="1" s="1" a="1"/>
  <c r="A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<sst xmlns="http://schemas.openxmlformats.org/spreadsheetml/2006/main" count="1067" uniqueCount="354">
  <si>
    <t>FORUM DE LA RENTRÉE 2026 — BASE EXPOSANTS CONSOLIDÉE (2019–2025)  |  72 exposants recensés</t>
  </si>
  <si>
    <t>IDENTITÉ</t>
  </si>
  <si>
    <t>PRÉSENCE HISTORIQUE</t>
  </si>
  <si>
    <t>FIDÉLITÉ</t>
  </si>
  <si>
    <t>CONTACT</t>
  </si>
  <si>
    <t>STATUT 2026</t>
  </si>
  <si>
    <t>#</t>
  </si>
  <si>
    <t>Exposant</t>
  </si>
  <si>
    <t>Activité</t>
  </si>
  <si>
    <t>Site principal</t>
  </si>
  <si>
    <t>2019</t>
  </si>
  <si>
    <t>2020</t>
  </si>
  <si>
    <t>2023</t>
  </si>
  <si>
    <t>2024</t>
  </si>
  <si>
    <t>2025</t>
  </si>
  <si>
    <t>Nb éd.</t>
  </si>
  <si>
    <t>Fidélité</t>
  </si>
  <si>
    <t>Contact Nom</t>
  </si>
  <si>
    <t>Téléphone</t>
  </si>
  <si>
    <t>Mail</t>
  </si>
  <si>
    <t>Statut 2026</t>
  </si>
  <si>
    <t>Ecole de Judo de Polynésie</t>
  </si>
  <si>
    <t>Judo / Jujitsu</t>
  </si>
  <si>
    <t>–</t>
  </si>
  <si>
    <t>✓</t>
  </si>
  <si>
    <t>⭐ Fidèle</t>
  </si>
  <si>
    <t>BERTRAND Arnaud</t>
  </si>
  <si>
    <t>87 75 98 68</t>
  </si>
  <si>
    <t>arnaudtahiti@gmail.com</t>
  </si>
  <si>
    <t>Confirmé</t>
  </si>
  <si>
    <t>Varuatahi Va'a Tahiti</t>
  </si>
  <si>
    <t>Va'a / Pirogue</t>
  </si>
  <si>
    <t>Ponctuel</t>
  </si>
  <si>
    <t>PAIE ELLIS Stanley</t>
  </si>
  <si>
    <t>89 40 03 03</t>
  </si>
  <si>
    <t>varuatahiti@gmail.com</t>
  </si>
  <si>
    <t>Relance</t>
  </si>
  <si>
    <t>Judo Club de Taravao</t>
  </si>
  <si>
    <t>Judo</t>
  </si>
  <si>
    <t>DELANNE Cédric</t>
  </si>
  <si>
    <t>87 74 64 06</t>
  </si>
  <si>
    <t>cedricdelanne9@hotmail.com</t>
  </si>
  <si>
    <t>Pilates Studio Tahiti</t>
  </si>
  <si>
    <t>Pilates / Bien-être</t>
  </si>
  <si>
    <t>LEMONNIER Joëlle</t>
  </si>
  <si>
    <t>87 38 74 18</t>
  </si>
  <si>
    <t>joylemon19@gmail.com</t>
  </si>
  <si>
    <t>Hapkido JJK Tahiti</t>
  </si>
  <si>
    <t>Judo / Hapkido</t>
  </si>
  <si>
    <t>CHEONG Jean-Marc</t>
  </si>
  <si>
    <t>89 71 53 30</t>
  </si>
  <si>
    <t>hapkidojjktahiti@gmail.com</t>
  </si>
  <si>
    <t>Tefana Judo</t>
  </si>
  <si>
    <t>Judo / MMA</t>
  </si>
  <si>
    <t>TIVANT Nicolas</t>
  </si>
  <si>
    <t>87 77 07 90</t>
  </si>
  <si>
    <t>tefanajudo@gmail.com</t>
  </si>
  <si>
    <t>Atelier 203</t>
  </si>
  <si>
    <t>Divers</t>
  </si>
  <si>
    <t>Faa'a</t>
  </si>
  <si>
    <t>87 71 18 23</t>
  </si>
  <si>
    <r>
      <rPr>
        <sz val="8"/>
        <color indexed="8"/>
        <rFont val="Arial"/>
        <family val="2"/>
      </rPr>
      <t>contact@atelier203.com</t>
    </r>
  </si>
  <si>
    <t>Tefana Taekwondo</t>
  </si>
  <si>
    <t>Taekwondo</t>
  </si>
  <si>
    <t>TAVITA Nathalie</t>
  </si>
  <si>
    <t>89 40 20 20</t>
  </si>
  <si>
    <t>tefanataekwondo@gmail.com</t>
  </si>
  <si>
    <t>Etuahi</t>
  </si>
  <si>
    <t>Ori Tahiti / Danse du feu</t>
  </si>
  <si>
    <t>Régulier</t>
  </si>
  <si>
    <t>ONDICOLBERRY Tamatea</t>
  </si>
  <si>
    <t>87 32 52 00</t>
  </si>
  <si>
    <t>etuahi.oritane@gmail.com</t>
  </si>
  <si>
    <t>Tauariki Ori Tahiti</t>
  </si>
  <si>
    <t>Ori Tahiti</t>
  </si>
  <si>
    <t>MOUFAT Taina</t>
  </si>
  <si>
    <t>89 76 61 40</t>
  </si>
  <si>
    <t>tauariki.oritahiti@hotmail.com</t>
  </si>
  <si>
    <t>Poly Robots Tahiti</t>
  </si>
  <si>
    <t>Robotique</t>
  </si>
  <si>
    <t>Tahiti Nui</t>
  </si>
  <si>
    <t>89 41 23 69</t>
  </si>
  <si>
    <r>
      <rPr>
        <sz val="8"/>
        <color indexed="8"/>
        <rFont val="Arial"/>
        <family val="2"/>
      </rPr>
      <t>polynesianrobots@gmail.com</t>
    </r>
  </si>
  <si>
    <t>I Mua Papeete</t>
  </si>
  <si>
    <t>Natation</t>
  </si>
  <si>
    <t xml:space="preserve">John </t>
  </si>
  <si>
    <t>89 40 22 04</t>
  </si>
  <si>
    <t>swimua.tahiti@gmail.com</t>
  </si>
  <si>
    <t>Dream Lab</t>
  </si>
  <si>
    <t>Musique</t>
  </si>
  <si>
    <t>MORGAN Tuhina</t>
  </si>
  <si>
    <t>87 75 75 40</t>
  </si>
  <si>
    <t>tuhina.morgan@gmail.com</t>
  </si>
  <si>
    <t>Polynélivre</t>
  </si>
  <si>
    <t>Livres / Lecture</t>
  </si>
  <si>
    <t>AUBINEAU Janick</t>
  </si>
  <si>
    <t>89 36 31 54</t>
  </si>
  <si>
    <r>
      <rPr>
        <sz val="8"/>
        <color indexed="8"/>
        <rFont val="Arial"/>
        <family val="2"/>
      </rPr>
      <t>polynelivre@gmail.com</t>
    </r>
  </si>
  <si>
    <t>Olympique de Polynésie</t>
  </si>
  <si>
    <t>Natation / Sauvetage</t>
  </si>
  <si>
    <t>TAPI Romy</t>
  </si>
  <si>
    <t>87 76 44 10</t>
  </si>
  <si>
    <t>olpnatation@gmail.com</t>
  </si>
  <si>
    <t>Centre de danse André Tschan</t>
  </si>
  <si>
    <t>Danse</t>
  </si>
  <si>
    <t xml:space="preserve">Eric Goalard </t>
  </si>
  <si>
    <t>87 71 55 41</t>
  </si>
  <si>
    <t>centrededanse.tschan@gmail.com</t>
  </si>
  <si>
    <t xml:space="preserve">Fédération polynésien des sports adapté et handisport </t>
  </si>
  <si>
    <t>Handisport</t>
  </si>
  <si>
    <t xml:space="preserve">Kamia Henriette </t>
  </si>
  <si>
    <t xml:space="preserve">87 72 97 62 </t>
  </si>
  <si>
    <t>vake.rh@hotmail.fr</t>
  </si>
  <si>
    <t xml:space="preserve">Arearea surf adventures </t>
  </si>
  <si>
    <t>Surf</t>
  </si>
  <si>
    <t>Eva Tarahu</t>
  </si>
  <si>
    <t>89 51 15 13</t>
  </si>
  <si>
    <t>evatara@hotmail.fr</t>
  </si>
  <si>
    <t>L'eperon de Tahiti</t>
  </si>
  <si>
    <t>Equitation</t>
  </si>
  <si>
    <t>Faaa</t>
  </si>
  <si>
    <t>Raphaël Mérel</t>
  </si>
  <si>
    <t>87 71 20 10</t>
  </si>
  <si>
    <t>raphael@eperondetahiti.com</t>
  </si>
  <si>
    <t xml:space="preserve">Tahia - Soutien Scolaire </t>
  </si>
  <si>
    <t>Soutien scolaire</t>
  </si>
  <si>
    <t>Tahia Duong</t>
  </si>
  <si>
    <t>87 72 33 47</t>
  </si>
  <si>
    <t xml:space="preserve">tahiad07@yahoo.fr </t>
  </si>
  <si>
    <t>Académie de danse Annie Fayn</t>
  </si>
  <si>
    <t>FAYN Annie</t>
  </si>
  <si>
    <t>40 41 20 04</t>
  </si>
  <si>
    <t>academiededanseanniefayn@gmail.com</t>
  </si>
  <si>
    <t xml:space="preserve">Ass. Te Tere - Roller Tahiti </t>
  </si>
  <si>
    <t>Rollers</t>
  </si>
  <si>
    <t>Punaauia</t>
  </si>
  <si>
    <t xml:space="preserve">Line </t>
  </si>
  <si>
    <t>87 33 65 08</t>
  </si>
  <si>
    <r>
      <rPr>
        <sz val="8"/>
        <color indexed="8"/>
        <rFont val="Arial"/>
        <family val="2"/>
      </rPr>
      <t>teretahiti@protonmail.com</t>
    </r>
  </si>
  <si>
    <t xml:space="preserve">Manu Ura Tennis </t>
  </si>
  <si>
    <t>Tennis</t>
  </si>
  <si>
    <t>Delphine METUA</t>
  </si>
  <si>
    <t xml:space="preserve">89 72 19 70 </t>
  </si>
  <si>
    <t>Taina Natation</t>
  </si>
  <si>
    <t>DELAFOULLHOUZE Jean-Louis</t>
  </si>
  <si>
    <t>87 78 11 27</t>
  </si>
  <si>
    <t>tainanatation@mail.pf</t>
  </si>
  <si>
    <t>Fenua Sauvetage</t>
  </si>
  <si>
    <t>SCHUFT Moana</t>
  </si>
  <si>
    <t>89 25 34 19</t>
  </si>
  <si>
    <t>fenuasauvetagenatation@gmail.com</t>
  </si>
  <si>
    <t>Punaauia Judo Jujitsu</t>
  </si>
  <si>
    <t>VERNAUDON Rauhiti</t>
  </si>
  <si>
    <t>87 21 95 76</t>
  </si>
  <si>
    <t>jcpunaauia@gmail.com</t>
  </si>
  <si>
    <t>Eleuthera Tahiti</t>
  </si>
  <si>
    <t>Plongée / Permis bateau</t>
  </si>
  <si>
    <t>CASTEL Nicolas</t>
  </si>
  <si>
    <t>87 77 65 68</t>
  </si>
  <si>
    <t>contact@eleutheratahiti.com</t>
  </si>
  <si>
    <t>Centre de danse Vanessa Roche</t>
  </si>
  <si>
    <t>Danse / Bien-être</t>
  </si>
  <si>
    <t>ROCHE Vanessa</t>
  </si>
  <si>
    <t>87 22 45 93</t>
  </si>
  <si>
    <t>centrededanse@vanessaroche.com</t>
  </si>
  <si>
    <t>Fédération Polynésienne Escrime</t>
  </si>
  <si>
    <t>Escrime</t>
  </si>
  <si>
    <t>BELLANGER Arnaud</t>
  </si>
  <si>
    <t>89 32 99 78</t>
  </si>
  <si>
    <t>arnaud.bellanger34@gmail.com</t>
  </si>
  <si>
    <t>Punaauia Rugby Club</t>
  </si>
  <si>
    <t>Rugby</t>
  </si>
  <si>
    <t xml:space="preserve">Pouena Stefano </t>
  </si>
  <si>
    <t>89 71 76 31</t>
  </si>
  <si>
    <r>
      <rPr>
        <sz val="8"/>
        <color indexed="8"/>
        <rFont val="Arial"/>
        <family val="2"/>
      </rPr>
      <t>p.setefano77@yahoo.co.nz</t>
    </r>
  </si>
  <si>
    <t>AS Manu Ura</t>
  </si>
  <si>
    <t xml:space="preserve">Axelle Plaire </t>
  </si>
  <si>
    <r>
      <rPr>
        <sz val="8"/>
        <color indexed="8"/>
        <rFont val="Arial"/>
        <family val="2"/>
      </rPr>
      <t>arnaudtahiti@gmail.com</t>
    </r>
  </si>
  <si>
    <t>Polykids</t>
  </si>
  <si>
    <t>Jeux vidéo / Ateliers</t>
  </si>
  <si>
    <t xml:space="preserve">Guillaume Clarys </t>
  </si>
  <si>
    <t xml:space="preserve">87 20 72 05 </t>
  </si>
  <si>
    <r>
      <rPr>
        <sz val="8"/>
        <color indexed="8"/>
        <rFont val="Arial"/>
        <family val="2"/>
      </rPr>
      <t>contact@polykids.pf</t>
    </r>
  </si>
  <si>
    <t>Centre de danse TAMANU</t>
  </si>
  <si>
    <t>Solène</t>
  </si>
  <si>
    <t xml:space="preserve">87 70 79 84 </t>
  </si>
  <si>
    <t>centrededanse.tamanu@gmail.com</t>
  </si>
  <si>
    <t>Escrime Tiki Club</t>
  </si>
  <si>
    <t>SANCHEZ Bruno</t>
  </si>
  <si>
    <t>87 72 86 06</t>
  </si>
  <si>
    <t>brunosanchezpf@gmail.com</t>
  </si>
  <si>
    <t>Yoga Tahiti</t>
  </si>
  <si>
    <t>Yoga / Bien-être</t>
  </si>
  <si>
    <t>JAUMOTTE Estelle</t>
  </si>
  <si>
    <t>87 74 47 49</t>
  </si>
  <si>
    <t>estelle@yogatahiti.com</t>
  </si>
  <si>
    <t>Football Américain Tahiti</t>
  </si>
  <si>
    <t>Football américain</t>
  </si>
  <si>
    <t>BOUIT Johann</t>
  </si>
  <si>
    <t>87 30 40 60</t>
  </si>
  <si>
    <t>info@ftfa.pf</t>
  </si>
  <si>
    <t xml:space="preserve">Fédération Tahitienne de natation </t>
  </si>
  <si>
    <t>Michel sommers</t>
  </si>
  <si>
    <t>87 79 93 08</t>
  </si>
  <si>
    <r>
      <rPr>
        <sz val="8"/>
        <color indexed="8"/>
        <rFont val="Arial"/>
        <family val="2"/>
      </rPr>
      <t xml:space="preserve">michel.sommers@edt.engie.pf </t>
    </r>
  </si>
  <si>
    <t xml:space="preserve">Ecole de surf Itinui </t>
  </si>
  <si>
    <t xml:space="preserve">Surf </t>
  </si>
  <si>
    <t>Doumé Guérin</t>
  </si>
  <si>
    <t xml:space="preserve">87 73 14 21 </t>
  </si>
  <si>
    <r>
      <rPr>
        <sz val="8"/>
        <color indexed="8"/>
        <rFont val="Arial"/>
        <family val="2"/>
      </rPr>
      <t>surfitinui@gmail.com</t>
    </r>
  </si>
  <si>
    <t xml:space="preserve">Ecole de danse LEHIA </t>
  </si>
  <si>
    <t>Lehia</t>
  </si>
  <si>
    <t xml:space="preserve">89 78 68 79 </t>
  </si>
  <si>
    <t>cyrle37@gmail.com</t>
  </si>
  <si>
    <t xml:space="preserve">Ta'iara Pro </t>
  </si>
  <si>
    <t xml:space="preserve">Demande de stage </t>
  </si>
  <si>
    <t xml:space="preserve">Teiva </t>
  </si>
  <si>
    <t>87 70 52 63</t>
  </si>
  <si>
    <t>contact@taiara.net</t>
  </si>
  <si>
    <t>Henriette KAMIA</t>
  </si>
  <si>
    <t>Ass. Club Rugby Manu Ura</t>
  </si>
  <si>
    <t xml:space="preserve">Rugby </t>
  </si>
  <si>
    <t>Taputua Teinauri</t>
  </si>
  <si>
    <t>87 76 11 31</t>
  </si>
  <si>
    <t>tapu.teina0210@gmail.com</t>
  </si>
  <si>
    <t>Arue</t>
  </si>
  <si>
    <t>ACE Arue</t>
  </si>
  <si>
    <t>Athlétisme</t>
  </si>
  <si>
    <t>LE PRINCE Serge</t>
  </si>
  <si>
    <t>89 78 91 14</t>
  </si>
  <si>
    <t>lpeserge@gmail.com</t>
  </si>
  <si>
    <t>Budokan Judo Pirae</t>
  </si>
  <si>
    <t>Judo / Kendo</t>
  </si>
  <si>
    <t>NICOLLIN Lavaïna</t>
  </si>
  <si>
    <t>87 30 97 20</t>
  </si>
  <si>
    <t>budokanjudopirae@gmail.com</t>
  </si>
  <si>
    <t>Tahiti English School</t>
  </si>
  <si>
    <t>Langue anglaise</t>
  </si>
  <si>
    <t>BOVE Johanna</t>
  </si>
  <si>
    <t>89 72 24 80</t>
  </si>
  <si>
    <t>tahitienglishschool@gmail.com</t>
  </si>
  <si>
    <t>3TBC</t>
  </si>
  <si>
    <t>Boxe anglaise</t>
  </si>
  <si>
    <t>Ismael Tahiata</t>
  </si>
  <si>
    <t xml:space="preserve">87 79 70 65 </t>
  </si>
  <si>
    <r>
      <rPr>
        <sz val="8"/>
        <color indexed="8"/>
        <rFont val="Arial"/>
        <family val="2"/>
      </rPr>
      <t>fbatahiti2011@yahoo.fr</t>
    </r>
  </si>
  <si>
    <t>Lotus Bleu</t>
  </si>
  <si>
    <t>Langue chinoise</t>
  </si>
  <si>
    <t>LI Niannian</t>
  </si>
  <si>
    <t>87 30 36 66</t>
  </si>
  <si>
    <t>lotusbleu.tahiti@gmail.com</t>
  </si>
  <si>
    <t>Kids camp Moorea</t>
  </si>
  <si>
    <t>Centre de vacances</t>
  </si>
  <si>
    <t xml:space="preserve">Arue </t>
  </si>
  <si>
    <t xml:space="preserve">Tuheiava Thierry </t>
  </si>
  <si>
    <t>89 79 90 74</t>
  </si>
  <si>
    <t>kidscamptahiti@gmail.com</t>
  </si>
  <si>
    <t xml:space="preserve"> CO MUSIC SCHOOL Samuel Teriimana </t>
  </si>
  <si>
    <t xml:space="preserve">Ecole de Percussions </t>
  </si>
  <si>
    <t>Samuel Teriimana</t>
  </si>
  <si>
    <t>87 29 97 35</t>
  </si>
  <si>
    <r>
      <rPr>
        <sz val="8"/>
        <color indexed="8"/>
        <rFont val="Arial"/>
        <family val="2"/>
      </rPr>
      <t xml:space="preserve">samuel.teriimana@gmail.com </t>
    </r>
  </si>
  <si>
    <t>Ecole de Judo - Arnaud BERTRAND</t>
  </si>
  <si>
    <t>Arnaud Bertrand</t>
  </si>
  <si>
    <t>Riding Team Tahiti</t>
  </si>
  <si>
    <t>Cyclisme / BMX</t>
  </si>
  <si>
    <t>CHONFON Heimata</t>
  </si>
  <si>
    <t>87 77 91 16</t>
  </si>
  <si>
    <t>ridineteamtahiti@gmail.com</t>
  </si>
  <si>
    <t>Cercle des Nageurs de Polynésie</t>
  </si>
  <si>
    <t>CAPPARELLI Alexandre</t>
  </si>
  <si>
    <t>87 78 72 28</t>
  </si>
  <si>
    <t>resp-natation-course@cn-polynesie.com</t>
  </si>
  <si>
    <t>Fines lames d'Arue</t>
  </si>
  <si>
    <t>Jean Marc CUNEO</t>
  </si>
  <si>
    <t>87 78 40 00</t>
  </si>
  <si>
    <r>
      <rPr>
        <sz val="8"/>
        <color indexed="8"/>
        <rFont val="Arial"/>
        <family val="2"/>
      </rPr>
      <t>jeanmarccuneo@gmail.com</t>
    </r>
  </si>
  <si>
    <t>Soleil Levant</t>
  </si>
  <si>
    <t>Japonais / Langue</t>
  </si>
  <si>
    <t xml:space="preserve">Okuba </t>
  </si>
  <si>
    <t>87 21 77 80</t>
  </si>
  <si>
    <t>soleil.levant.nihongo@gmail.com</t>
  </si>
  <si>
    <t>John - Secrétariat</t>
  </si>
  <si>
    <t>Wind Chasers Tahiti</t>
  </si>
  <si>
    <t>Kitesurf / Windsurf</t>
  </si>
  <si>
    <t>ELISE</t>
  </si>
  <si>
    <t>89 53 08 14</t>
  </si>
  <si>
    <t>windchaserstahiti@gmail.com</t>
  </si>
  <si>
    <t>Exelsior Taekwondo</t>
  </si>
  <si>
    <t xml:space="preserve">Alfred Lai Koun Sing </t>
  </si>
  <si>
    <t xml:space="preserve">87 77 26 16 </t>
  </si>
  <si>
    <r>
      <rPr>
        <sz val="8"/>
        <color indexed="8"/>
        <rFont val="Arial"/>
        <family val="2"/>
      </rPr>
      <t>international@polynesiataekwondo.org</t>
    </r>
  </si>
  <si>
    <t>ADAT</t>
  </si>
  <si>
    <t>Athlétisme / Lecture</t>
  </si>
  <si>
    <t>Taravao</t>
  </si>
  <si>
    <t>CNBP – Voile Baie Phaeton</t>
  </si>
  <si>
    <t>Voile</t>
  </si>
  <si>
    <t>DE PREVILLE Gilles</t>
  </si>
  <si>
    <t>87 75 70 11</t>
  </si>
  <si>
    <t>cnbp@outlook.fr</t>
  </si>
  <si>
    <t>Ecole de danse Mono'ihere</t>
  </si>
  <si>
    <t>Danse Polynésienne</t>
  </si>
  <si>
    <t>ALEXANDRE Augustin</t>
  </si>
  <si>
    <t>87 30 17 83</t>
  </si>
  <si>
    <t>monoihereoritahiti@gmail.com</t>
  </si>
  <si>
    <t>Kamia Henriette</t>
  </si>
  <si>
    <t xml:space="preserve">Lulu dans l'arbre </t>
  </si>
  <si>
    <t xml:space="preserve">Ecriture </t>
  </si>
  <si>
    <t xml:space="preserve">Sophie Peracaula </t>
  </si>
  <si>
    <t>88 32 96 64</t>
  </si>
  <si>
    <r>
      <rPr>
        <sz val="8"/>
        <color indexed="8"/>
        <rFont val="Arial"/>
        <family val="2"/>
      </rPr>
      <t>sophieperacaula@gmail.com</t>
    </r>
  </si>
  <si>
    <t>Origami Art Tahiti Iti</t>
  </si>
  <si>
    <t>Origami / Art japonais</t>
  </si>
  <si>
    <t>EGUCHI Aya</t>
  </si>
  <si>
    <t>87 28 11 98</t>
  </si>
  <si>
    <t>eguchiaya@gmail.com</t>
  </si>
  <si>
    <t>Surf Hitinui</t>
  </si>
  <si>
    <t>Doumé</t>
  </si>
  <si>
    <t>87 73 14 21</t>
  </si>
  <si>
    <t>surfhitinui@gmail.com</t>
  </si>
  <si>
    <t xml:space="preserve">Taiarapu Boxing Club </t>
  </si>
  <si>
    <t>Toofa Steve</t>
  </si>
  <si>
    <t>87 31 93 33</t>
  </si>
  <si>
    <t>msvanina@live.fr</t>
  </si>
  <si>
    <t>Team riders presqu'île motors</t>
  </si>
  <si>
    <t>Moto</t>
  </si>
  <si>
    <t xml:space="preserve">Lee Wing Ben </t>
  </si>
  <si>
    <t>89 28 57 04</t>
  </si>
  <si>
    <t>leewingben@gmail.com</t>
  </si>
  <si>
    <t>Ecole de danse MANOHIVA Taravao</t>
  </si>
  <si>
    <t>89 40 95 95</t>
  </si>
  <si>
    <r>
      <rPr>
        <sz val="8"/>
        <color indexed="8"/>
        <rFont val="Arial"/>
        <family val="2"/>
      </rPr>
      <t>manohivaoritahiti@gmail.com</t>
    </r>
  </si>
  <si>
    <t>Kids Time Taravao</t>
  </si>
  <si>
    <t>Éveil enfant / Loisirs</t>
  </si>
  <si>
    <t>ELLACOTT Maeva</t>
  </si>
  <si>
    <t>87 29 97 65</t>
  </si>
  <si>
    <t>kidstimetaravao@gmail.com</t>
  </si>
  <si>
    <t>Danse Vahinerii</t>
  </si>
  <si>
    <t>BRODIEN Tuiana</t>
  </si>
  <si>
    <t>87 35 64 54</t>
  </si>
  <si>
    <t>brodientuiana@gmail.com</t>
  </si>
  <si>
    <t>Le Roseau</t>
  </si>
  <si>
    <t>TCHEN Gilbert</t>
  </si>
  <si>
    <t>87 73 48 48</t>
  </si>
  <si>
    <t>roseaul@mail.pf</t>
  </si>
  <si>
    <t>Dojo Takemusu</t>
  </si>
  <si>
    <t>Arts martiaux</t>
  </si>
  <si>
    <t>Xavier</t>
  </si>
  <si>
    <t>87 27 81 54</t>
  </si>
  <si>
    <t>heitefau@gmail.com</t>
  </si>
  <si>
    <t>Club d'Escrime Taravao</t>
  </si>
  <si>
    <t>Sylvère Rose</t>
  </si>
  <si>
    <t>87 26 27 55</t>
  </si>
  <si>
    <r>
      <rPr>
        <sz val="8"/>
        <color indexed="8"/>
        <rFont val="Arial"/>
        <family val="2"/>
      </rPr>
      <t>escrime.taravao@gmail.com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</si>
</sst>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Calibri"/>
    </font>
    <font>
      <b/>
      <sz val="12"/>
      <color indexed="9"/>
      <name val="Arial"/>
      <family val="2"/>
    </font>
    <font>
      <b/>
      <sz val="8"/>
      <color indexed="9"/>
      <name val="Arial"/>
      <family val="2"/>
    </font>
    <font>
      <b/>
      <sz val="9"/>
      <color indexed="9"/>
      <name val="Arial"/>
      <family val="2"/>
    </font>
    <font>
      <sz val="8"/>
      <color indexed="8"/>
      <name val="Arial"/>
      <family val="2"/>
    </font>
    <font>
      <sz val="8"/>
      <color indexed="21"/>
      <name val="Arial"/>
      <family val="2"/>
    </font>
    <font>
      <b/>
      <sz val="9"/>
      <color indexed="23"/>
      <name val="Arial"/>
      <family val="2"/>
    </font>
    <font>
      <b/>
      <sz val="8"/>
      <color indexed="8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8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1"/>
        <bgColor auto="1"/>
      </patternFill>
    </fill>
    <fill>
      <patternFill patternType="solid">
        <fgColor indexed="32"/>
        <bgColor auto="1"/>
      </patternFill>
    </fill>
  </fills>
  <borders count="22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/>
      <bottom/>
      <diagonal/>
    </border>
    <border>
      <left style="thin">
        <color indexed="11"/>
      </left>
      <right/>
      <top/>
      <bottom style="thin">
        <color indexed="18"/>
      </bottom>
      <diagonal/>
    </border>
    <border>
      <left/>
      <right/>
      <top/>
      <bottom style="thin">
        <color indexed="1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18"/>
      </left>
      <right style="thin">
        <color indexed="11"/>
      </right>
      <top/>
      <bottom style="thin">
        <color indexed="11"/>
      </bottom>
      <diagonal/>
    </border>
    <border>
      <left style="thin">
        <color indexed="1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/>
      <diagonal/>
    </border>
    <border>
      <left style="thin">
        <color indexed="18"/>
      </left>
      <right style="thin">
        <color indexed="11"/>
      </right>
      <top style="thin">
        <color indexed="11"/>
      </top>
      <bottom/>
      <diagonal/>
    </border>
    <border>
      <left style="thin">
        <color indexed="18"/>
      </left>
      <right/>
      <top style="thin">
        <color indexed="18"/>
      </top>
      <bottom style="thin">
        <color indexed="18"/>
      </bottom>
      <diagonal/>
    </border>
    <border>
      <left style="thin">
        <color indexed="11"/>
      </left>
      <right style="thin">
        <color indexed="11"/>
      </right>
      <top/>
      <bottom/>
      <diagonal/>
    </border>
    <border>
      <left style="thin">
        <color indexed="11"/>
      </left>
      <right/>
      <top style="thin">
        <color indexed="18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8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/>
      <right/>
      <top/>
      <bottom style="thin">
        <color indexed="11"/>
      </bottom>
      <diagonal/>
    </border>
  </borders>
  <cellStyleXfs count="1">
    <xf numFmtId="0" fontId="0" fillId="0" borderId="0" applyNumberFormat="0" applyFill="0" applyBorder="0" applyProtection="0"/>
  </cellStyleXfs>
  <cellXfs count="69">
    <xf numFmtId="0" fontId="0" fillId="0" borderId="0" xfId="0"/>
    <xf numFmtId="0" fontId="0" fillId="0" borderId="0" xfId="0" applyNumberFormat="1"/>
    <xf numFmtId="49" fontId="2" fillId="4" borderId="5" xfId="0" applyNumberFormat="1" applyFont="1" applyFill="1" applyBorder="1" applyAlignment="1">
      <alignment horizontal="center" vertical="center" wrapText="1"/>
    </xf>
    <xf numFmtId="49" fontId="2" fillId="6" borderId="5" xfId="0" applyNumberFormat="1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vertical="center" wrapText="1"/>
    </xf>
    <xf numFmtId="49" fontId="3" fillId="8" borderId="7" xfId="0" applyNumberFormat="1" applyFont="1" applyFill="1" applyBorder="1" applyAlignment="1">
      <alignment horizontal="center" vertical="center" wrapText="1"/>
    </xf>
    <xf numFmtId="49" fontId="3" fillId="2" borderId="8" xfId="0" applyNumberFormat="1" applyFont="1" applyFill="1" applyBorder="1" applyAlignment="1">
      <alignment horizontal="center" vertical="center" wrapText="1"/>
    </xf>
    <xf numFmtId="49" fontId="3" fillId="3" borderId="8" xfId="0" applyNumberFormat="1" applyFont="1" applyFill="1" applyBorder="1" applyAlignment="1">
      <alignment horizontal="center" vertical="center" wrapText="1"/>
    </xf>
    <xf numFmtId="49" fontId="3" fillId="4" borderId="8" xfId="0" applyNumberFormat="1" applyFont="1" applyFill="1" applyBorder="1" applyAlignment="1">
      <alignment horizontal="center" vertical="center" wrapText="1"/>
    </xf>
    <xf numFmtId="49" fontId="3" fillId="5" borderId="8" xfId="0" applyNumberFormat="1" applyFont="1" applyFill="1" applyBorder="1" applyAlignment="1">
      <alignment horizontal="center" vertical="center" wrapText="1"/>
    </xf>
    <xf numFmtId="49" fontId="3" fillId="6" borderId="8" xfId="0" applyNumberFormat="1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vertical="center" wrapText="1"/>
    </xf>
    <xf numFmtId="0" fontId="4" fillId="10" borderId="9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left" vertical="center"/>
    </xf>
    <xf numFmtId="0" fontId="2" fillId="11" borderId="9" xfId="0" applyFont="1" applyFill="1" applyBorder="1" applyAlignment="1">
      <alignment horizontal="left" vertical="center"/>
    </xf>
    <xf numFmtId="0" fontId="5" fillId="12" borderId="9" xfId="0" applyFont="1" applyFill="1" applyBorder="1" applyAlignment="1">
      <alignment horizontal="center" vertical="center"/>
    </xf>
    <xf numFmtId="0" fontId="6" fillId="13" borderId="9" xfId="0" applyFont="1" applyFill="1" applyBorder="1" applyAlignment="1">
      <alignment horizontal="center" vertical="center"/>
    </xf>
    <xf numFmtId="0" fontId="7" fillId="14" borderId="9" xfId="0" applyFont="1" applyFill="1" applyBorder="1" applyAlignment="1">
      <alignment horizontal="left" vertical="center"/>
    </xf>
    <xf numFmtId="49" fontId="4" fillId="15" borderId="9" xfId="0" applyNumberFormat="1" applyFont="1" applyFill="1" applyBorder="1" applyAlignment="1">
      <alignment horizontal="left" vertical="center"/>
    </xf>
    <xf numFmtId="0" fontId="0" fillId="0" borderId="10" xfId="0" applyBorder="1"/>
    <xf numFmtId="0" fontId="4" fillId="9" borderId="9" xfId="0" applyFont="1" applyFill="1" applyBorder="1" applyAlignment="1">
      <alignment horizontal="center" vertical="center"/>
    </xf>
    <xf numFmtId="0" fontId="4" fillId="9" borderId="9" xfId="0" applyFont="1" applyFill="1" applyBorder="1" applyAlignment="1">
      <alignment horizontal="left" vertical="center"/>
    </xf>
    <xf numFmtId="0" fontId="0" fillId="0" borderId="11" xfId="0" applyBorder="1"/>
    <xf numFmtId="0" fontId="4" fillId="9" borderId="9" xfId="0" applyNumberFormat="1" applyFont="1" applyFill="1" applyBorder="1" applyAlignment="1">
      <alignment horizontal="center" vertical="center"/>
    </xf>
    <xf numFmtId="49" fontId="4" fillId="9" borderId="9" xfId="0" applyNumberFormat="1" applyFont="1" applyFill="1" applyBorder="1" applyAlignment="1">
      <alignment horizontal="left" vertical="center"/>
    </xf>
    <xf numFmtId="49" fontId="2" fillId="11" borderId="9" xfId="0" applyNumberFormat="1" applyFont="1" applyFill="1" applyBorder="1" applyAlignment="1">
      <alignment horizontal="left" vertical="center"/>
    </xf>
    <xf numFmtId="49" fontId="5" fillId="12" borderId="9" xfId="0" applyNumberFormat="1" applyFont="1" applyFill="1" applyBorder="1" applyAlignment="1">
      <alignment horizontal="center" vertical="center"/>
    </xf>
    <xf numFmtId="49" fontId="6" fillId="13" borderId="9" xfId="0" applyNumberFormat="1" applyFont="1" applyFill="1" applyBorder="1" applyAlignment="1">
      <alignment horizontal="center" vertical="center"/>
    </xf>
    <xf numFmtId="49" fontId="7" fillId="14" borderId="9" xfId="0" applyNumberFormat="1" applyFont="1" applyFill="1" applyBorder="1" applyAlignment="1">
      <alignment horizontal="left" vertical="center"/>
    </xf>
    <xf numFmtId="49" fontId="4" fillId="10" borderId="9" xfId="0" applyNumberFormat="1" applyFont="1" applyFill="1" applyBorder="1" applyAlignment="1">
      <alignment horizontal="left" vertical="center"/>
    </xf>
    <xf numFmtId="0" fontId="4" fillId="10" borderId="9" xfId="0" applyNumberFormat="1" applyFont="1" applyFill="1" applyBorder="1" applyAlignment="1">
      <alignment horizontal="center" vertical="center"/>
    </xf>
    <xf numFmtId="49" fontId="2" fillId="16" borderId="9" xfId="0" applyNumberFormat="1" applyFont="1" applyFill="1" applyBorder="1" applyAlignment="1">
      <alignment horizontal="left" vertical="center"/>
    </xf>
    <xf numFmtId="49" fontId="4" fillId="17" borderId="9" xfId="0" applyNumberFormat="1" applyFont="1" applyFill="1" applyBorder="1" applyAlignment="1">
      <alignment horizontal="left" vertical="center"/>
    </xf>
    <xf numFmtId="49" fontId="2" fillId="18" borderId="9" xfId="0" applyNumberFormat="1" applyFont="1" applyFill="1" applyBorder="1" applyAlignment="1">
      <alignment horizontal="left" vertical="center"/>
    </xf>
    <xf numFmtId="49" fontId="2" fillId="7" borderId="9" xfId="0" applyNumberFormat="1" applyFont="1" applyFill="1" applyBorder="1" applyAlignment="1">
      <alignment horizontal="left" vertical="center"/>
    </xf>
    <xf numFmtId="0" fontId="0" fillId="0" borderId="12" xfId="0" applyBorder="1"/>
    <xf numFmtId="49" fontId="2" fillId="19" borderId="9" xfId="0" applyNumberFormat="1" applyFont="1" applyFill="1" applyBorder="1" applyAlignment="1">
      <alignment horizontal="left" vertical="center"/>
    </xf>
    <xf numFmtId="49" fontId="2" fillId="20" borderId="9" xfId="0" applyNumberFormat="1" applyFont="1" applyFill="1" applyBorder="1" applyAlignment="1">
      <alignment horizontal="left" vertical="center"/>
    </xf>
    <xf numFmtId="0" fontId="2" fillId="9" borderId="9" xfId="0" applyFont="1" applyFill="1" applyBorder="1" applyAlignment="1">
      <alignment horizontal="left" vertical="center"/>
    </xf>
    <xf numFmtId="0" fontId="5" fillId="9" borderId="9" xfId="0" applyFont="1" applyFill="1" applyBorder="1" applyAlignment="1">
      <alignment horizontal="center" vertical="center"/>
    </xf>
    <xf numFmtId="0" fontId="6" fillId="9" borderId="9" xfId="0" applyFont="1" applyFill="1" applyBorder="1" applyAlignment="1">
      <alignment horizontal="center" vertical="center"/>
    </xf>
    <xf numFmtId="0" fontId="4" fillId="9" borderId="13" xfId="0" applyFont="1" applyFill="1" applyBorder="1" applyAlignment="1">
      <alignment horizontal="center" vertical="center"/>
    </xf>
    <xf numFmtId="0" fontId="0" fillId="0" borderId="14" xfId="0" applyBorder="1"/>
    <xf numFmtId="0" fontId="4" fillId="9" borderId="5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left" vertical="center"/>
    </xf>
    <xf numFmtId="0" fontId="0" fillId="0" borderId="6" xfId="0" applyBorder="1"/>
    <xf numFmtId="0" fontId="4" fillId="9" borderId="13" xfId="0" applyFont="1" applyFill="1" applyBorder="1" applyAlignment="1">
      <alignment horizontal="left" vertical="center"/>
    </xf>
    <xf numFmtId="0" fontId="2" fillId="9" borderId="13" xfId="0" applyFont="1" applyFill="1" applyBorder="1" applyAlignment="1">
      <alignment horizontal="left" vertical="center"/>
    </xf>
    <xf numFmtId="0" fontId="5" fillId="9" borderId="13" xfId="0" applyFont="1" applyFill="1" applyBorder="1" applyAlignment="1">
      <alignment horizontal="center" vertical="center"/>
    </xf>
    <xf numFmtId="0" fontId="4" fillId="9" borderId="15" xfId="0" applyFont="1" applyFill="1" applyBorder="1" applyAlignment="1">
      <alignment horizontal="center" vertical="center"/>
    </xf>
    <xf numFmtId="0" fontId="0" fillId="0" borderId="16" xfId="0" applyBorder="1"/>
    <xf numFmtId="0" fontId="0" fillId="0" borderId="4" xfId="0" applyBorder="1"/>
    <xf numFmtId="0" fontId="0" fillId="0" borderId="5" xfId="0" applyBorder="1"/>
    <xf numFmtId="0" fontId="2" fillId="9" borderId="5" xfId="0" applyFont="1" applyFill="1" applyBorder="1" applyAlignment="1">
      <alignment horizontal="left" vertical="center"/>
    </xf>
    <xf numFmtId="0" fontId="5" fillId="9" borderId="5" xfId="0" applyFont="1" applyFill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49" fontId="2" fillId="2" borderId="4" xfId="0" applyNumberFormat="1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49" fontId="2" fillId="3" borderId="5" xfId="0" applyNumberFormat="1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49" fontId="2" fillId="5" borderId="5" xfId="0" applyNumberFormat="1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231F20"/>
      <rgbColor rgb="FFAAAAAA"/>
      <rgbColor rgb="FF555555"/>
      <rgbColor rgb="FF7B3F00"/>
      <rgbColor rgb="FF1F4E79"/>
      <rgbColor rgb="FFE8500A"/>
      <rgbColor rgb="FF2E7D32"/>
      <rgbColor rgb="FF444444"/>
      <rgbColor rgb="FFCCCCCC"/>
      <rgbColor rgb="FFF4F4F4"/>
      <rgbColor rgb="FF1A7FA1"/>
      <rgbColor rgb="FFBBBBBB"/>
      <rgbColor rgb="FFE8E8E8"/>
      <rgbColor rgb="FF1E4620"/>
      <rgbColor rgb="FFC6EFCE"/>
      <rgbColor rgb="FFFFF2CC"/>
      <rgbColor rgb="FFFFEB9C"/>
      <rgbColor rgb="FFF0FFF0"/>
      <rgbColor rgb="FF2E5FA3"/>
      <rgbColor rgb="FFE2EFDA"/>
      <rgbColor rgb="FF00823B"/>
      <rgbColor rgb="FFC00000"/>
      <rgbColor rgb="FFB97034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ntact@polykids.pf" TargetMode="External"/><Relationship Id="rId13" Type="http://schemas.openxmlformats.org/officeDocument/2006/relationships/hyperlink" Target="mailto:fbatahiti2011@yahoo.fr" TargetMode="External"/><Relationship Id="rId18" Type="http://schemas.openxmlformats.org/officeDocument/2006/relationships/hyperlink" Target="mailto:polynelivre@gmail.com" TargetMode="External"/><Relationship Id="rId3" Type="http://schemas.openxmlformats.org/officeDocument/2006/relationships/hyperlink" Target="mailto:polynelivre@gmail.com" TargetMode="External"/><Relationship Id="rId21" Type="http://schemas.openxmlformats.org/officeDocument/2006/relationships/hyperlink" Target="mailto:escrime.taravao@gmail.com" TargetMode="External"/><Relationship Id="rId7" Type="http://schemas.openxmlformats.org/officeDocument/2006/relationships/hyperlink" Target="mailto:arnaudtahiti@gmail.com" TargetMode="External"/><Relationship Id="rId12" Type="http://schemas.openxmlformats.org/officeDocument/2006/relationships/hyperlink" Target="mailto:contact@atelier203.com" TargetMode="External"/><Relationship Id="rId17" Type="http://schemas.openxmlformats.org/officeDocument/2006/relationships/hyperlink" Target="mailto:international@polynesiataekwondo.org" TargetMode="External"/><Relationship Id="rId2" Type="http://schemas.openxmlformats.org/officeDocument/2006/relationships/hyperlink" Target="mailto:polynesianrobots@gmail.com" TargetMode="External"/><Relationship Id="rId16" Type="http://schemas.openxmlformats.org/officeDocument/2006/relationships/hyperlink" Target="mailto:jeanmarccuneo@gmail.com" TargetMode="External"/><Relationship Id="rId20" Type="http://schemas.openxmlformats.org/officeDocument/2006/relationships/hyperlink" Target="mailto:manohivaoritahiti@gmail.com" TargetMode="External"/><Relationship Id="rId1" Type="http://schemas.openxmlformats.org/officeDocument/2006/relationships/hyperlink" Target="mailto:contact@atelier203.com" TargetMode="External"/><Relationship Id="rId6" Type="http://schemas.openxmlformats.org/officeDocument/2006/relationships/hyperlink" Target="mailto:p.setefano77@yahoo.co.nz" TargetMode="External"/><Relationship Id="rId11" Type="http://schemas.openxmlformats.org/officeDocument/2006/relationships/hyperlink" Target="mailto:polynesianrobots@gmail.com" TargetMode="External"/><Relationship Id="rId5" Type="http://schemas.openxmlformats.org/officeDocument/2006/relationships/hyperlink" Target="mailto:contact@atelier203.com" TargetMode="External"/><Relationship Id="rId15" Type="http://schemas.openxmlformats.org/officeDocument/2006/relationships/hyperlink" Target="mailto:arnaudtahiti@gmail.com" TargetMode="External"/><Relationship Id="rId10" Type="http://schemas.openxmlformats.org/officeDocument/2006/relationships/hyperlink" Target="mailto:surfitinui@gmail.com" TargetMode="External"/><Relationship Id="rId19" Type="http://schemas.openxmlformats.org/officeDocument/2006/relationships/hyperlink" Target="mailto:sophieperacaula@gmail.com" TargetMode="External"/><Relationship Id="rId4" Type="http://schemas.openxmlformats.org/officeDocument/2006/relationships/hyperlink" Target="mailto:teretahiti@protonmail.com" TargetMode="External"/><Relationship Id="rId9" Type="http://schemas.openxmlformats.org/officeDocument/2006/relationships/hyperlink" Target="mailto:michel.sommers@edt.engie.pf" TargetMode="External"/><Relationship Id="rId14" Type="http://schemas.openxmlformats.org/officeDocument/2006/relationships/hyperlink" Target="mailto:samuel.teriiman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1"/>
  <sheetViews>
    <sheetView showGridLines="0" tabSelected="1" workbookViewId="0">
      <selection activeCell="E13" sqref="E13"/>
    </sheetView>
  </sheetViews>
  <sheetFormatPr baseColWidth="10" defaultColWidth="8.6640625" defaultRowHeight="15" customHeight="1" x14ac:dyDescent="0.2"/>
  <cols>
    <col min="1" max="1" width="5" style="1" customWidth="1"/>
    <col min="2" max="2" width="30" style="1" customWidth="1"/>
    <col min="3" max="3" width="22" style="1" customWidth="1"/>
    <col min="4" max="4" width="14" style="1" customWidth="1"/>
    <col min="5" max="10" width="6" style="1" customWidth="1"/>
    <col min="11" max="11" width="12" style="1" customWidth="1"/>
    <col min="12" max="12" width="22" style="1" customWidth="1"/>
    <col min="13" max="13" width="14" style="1" customWidth="1"/>
    <col min="14" max="14" width="28" style="1" customWidth="1"/>
    <col min="15" max="15" width="16" style="1" customWidth="1"/>
    <col min="16" max="17" width="8.6640625" style="1" customWidth="1"/>
    <col min="18" max="16384" width="8.6640625" style="1"/>
  </cols>
  <sheetData>
    <row r="1" spans="1:16" ht="27.75" customHeight="1" x14ac:dyDescent="0.2">
      <c r="A1" s="60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2"/>
    </row>
    <row r="2" spans="1:16" ht="15.75" customHeight="1" x14ac:dyDescent="0.2">
      <c r="A2" s="63" t="s">
        <v>1</v>
      </c>
      <c r="B2" s="64"/>
      <c r="C2" s="64"/>
      <c r="D2" s="64"/>
      <c r="E2" s="65" t="s">
        <v>2</v>
      </c>
      <c r="F2" s="66"/>
      <c r="G2" s="66"/>
      <c r="H2" s="66"/>
      <c r="I2" s="66"/>
      <c r="J2" s="66"/>
      <c r="K2" s="2" t="s">
        <v>3</v>
      </c>
      <c r="L2" s="67" t="s">
        <v>4</v>
      </c>
      <c r="M2" s="68"/>
      <c r="N2" s="68"/>
      <c r="O2" s="3" t="s">
        <v>5</v>
      </c>
      <c r="P2" s="4"/>
    </row>
    <row r="3" spans="1:16" ht="33.75" customHeight="1" x14ac:dyDescent="0.2">
      <c r="A3" s="5" t="s">
        <v>6</v>
      </c>
      <c r="B3" s="6" t="s">
        <v>7</v>
      </c>
      <c r="C3" s="6" t="s">
        <v>8</v>
      </c>
      <c r="D3" s="6" t="s">
        <v>9</v>
      </c>
      <c r="E3" s="7" t="s">
        <v>10</v>
      </c>
      <c r="F3" s="7" t="s">
        <v>11</v>
      </c>
      <c r="G3" s="7" t="s">
        <v>12</v>
      </c>
      <c r="H3" s="7" t="s">
        <v>13</v>
      </c>
      <c r="I3" s="7" t="s">
        <v>14</v>
      </c>
      <c r="J3" s="7" t="s">
        <v>15</v>
      </c>
      <c r="K3" s="8" t="s">
        <v>16</v>
      </c>
      <c r="L3" s="9" t="s">
        <v>17</v>
      </c>
      <c r="M3" s="9" t="s">
        <v>18</v>
      </c>
      <c r="N3" s="9" t="s">
        <v>19</v>
      </c>
      <c r="O3" s="10" t="s">
        <v>20</v>
      </c>
      <c r="P3" s="11"/>
    </row>
    <row r="4" spans="1:16" ht="15" customHeight="1" x14ac:dyDescent="0.2">
      <c r="A4" s="12"/>
      <c r="B4" s="13"/>
      <c r="C4" s="13"/>
      <c r="D4" s="14"/>
      <c r="E4" s="15"/>
      <c r="F4" s="15"/>
      <c r="G4" s="16"/>
      <c r="H4" s="16"/>
      <c r="I4" s="16"/>
      <c r="J4" s="12"/>
      <c r="K4" s="17"/>
      <c r="L4" s="13"/>
      <c r="M4" s="13"/>
      <c r="N4" s="13"/>
      <c r="O4" s="18"/>
      <c r="P4" s="19"/>
    </row>
    <row r="5" spans="1:16" ht="15" customHeight="1" x14ac:dyDescent="0.2">
      <c r="A5" s="20"/>
      <c r="B5" s="21"/>
      <c r="C5" s="21"/>
      <c r="D5" s="14"/>
      <c r="E5" s="15"/>
      <c r="F5" s="15"/>
      <c r="G5" s="16"/>
      <c r="H5" s="16"/>
      <c r="I5" s="16"/>
      <c r="J5" s="20"/>
      <c r="K5" s="17"/>
      <c r="L5" s="21"/>
      <c r="M5" s="21"/>
      <c r="N5" s="21"/>
      <c r="O5" s="18"/>
      <c r="P5" s="22"/>
    </row>
    <row r="6" spans="1:16" ht="15" customHeight="1" x14ac:dyDescent="0.2">
      <c r="A6" s="20"/>
      <c r="B6" s="13"/>
      <c r="C6" s="13"/>
      <c r="D6" s="14"/>
      <c r="E6" s="15"/>
      <c r="F6" s="16"/>
      <c r="G6" s="16"/>
      <c r="H6" s="16"/>
      <c r="I6" s="16"/>
      <c r="J6" s="12"/>
      <c r="K6" s="17"/>
      <c r="L6" s="13"/>
      <c r="M6" s="13"/>
      <c r="N6" s="13"/>
      <c r="O6" s="18"/>
      <c r="P6" s="22"/>
    </row>
    <row r="7" spans="1:16" ht="15" customHeight="1" x14ac:dyDescent="0.2">
      <c r="A7" s="23" cm="1">
        <f t="array" ref="A7">1+A6</f>
        <v>1</v>
      </c>
      <c r="B7" s="24" t="s">
        <v>21</v>
      </c>
      <c r="C7" s="24" t="s">
        <v>22</v>
      </c>
      <c r="D7" s="25"/>
      <c r="E7" s="26" t="s">
        <v>23</v>
      </c>
      <c r="F7" s="26" t="s">
        <v>23</v>
      </c>
      <c r="G7" s="27" t="s">
        <v>24</v>
      </c>
      <c r="H7" s="27" t="s">
        <v>24</v>
      </c>
      <c r="I7" s="27" t="s">
        <v>24</v>
      </c>
      <c r="J7" s="23">
        <v>3</v>
      </c>
      <c r="K7" s="28" t="s">
        <v>25</v>
      </c>
      <c r="L7" s="24" t="s">
        <v>26</v>
      </c>
      <c r="M7" s="24" t="s">
        <v>27</v>
      </c>
      <c r="N7" s="24" t="s">
        <v>28</v>
      </c>
      <c r="O7" s="18" t="s">
        <v>29</v>
      </c>
      <c r="P7" s="22"/>
    </row>
    <row r="8" spans="1:16" ht="15" customHeight="1" x14ac:dyDescent="0.2">
      <c r="A8" s="23" cm="1">
        <f t="array" ref="A8">1+A7</f>
        <v>2</v>
      </c>
      <c r="B8" s="29" t="s">
        <v>30</v>
      </c>
      <c r="C8" s="29" t="s">
        <v>31</v>
      </c>
      <c r="D8" s="25"/>
      <c r="E8" s="26" t="s">
        <v>23</v>
      </c>
      <c r="F8" s="26" t="s">
        <v>23</v>
      </c>
      <c r="G8" s="26" t="s">
        <v>23</v>
      </c>
      <c r="H8" s="26" t="s">
        <v>23</v>
      </c>
      <c r="I8" s="27" t="s">
        <v>24</v>
      </c>
      <c r="J8" s="30">
        <v>1</v>
      </c>
      <c r="K8" s="29" t="s">
        <v>32</v>
      </c>
      <c r="L8" s="29" t="s">
        <v>33</v>
      </c>
      <c r="M8" s="29" t="s">
        <v>34</v>
      </c>
      <c r="N8" s="29" t="s">
        <v>35</v>
      </c>
      <c r="O8" s="18" t="s">
        <v>36</v>
      </c>
      <c r="P8" s="22"/>
    </row>
    <row r="9" spans="1:16" ht="15" customHeight="1" x14ac:dyDescent="0.2">
      <c r="A9" s="20"/>
      <c r="B9" s="21"/>
      <c r="C9" s="21"/>
      <c r="D9" s="14"/>
      <c r="E9" s="15"/>
      <c r="F9" s="15"/>
      <c r="G9" s="15"/>
      <c r="H9" s="15"/>
      <c r="I9" s="16"/>
      <c r="J9" s="20"/>
      <c r="K9" s="13"/>
      <c r="L9" s="21"/>
      <c r="M9" s="21"/>
      <c r="N9" s="21"/>
      <c r="O9" s="18"/>
      <c r="P9" s="22"/>
    </row>
    <row r="10" spans="1:16" ht="15" customHeight="1" x14ac:dyDescent="0.2">
      <c r="A10" s="23" cm="1">
        <f t="array" ref="A10">1+A9</f>
        <v>1</v>
      </c>
      <c r="B10" s="29" t="s">
        <v>37</v>
      </c>
      <c r="C10" s="29" t="s">
        <v>38</v>
      </c>
      <c r="D10" s="25"/>
      <c r="E10" s="26" t="s">
        <v>23</v>
      </c>
      <c r="F10" s="27" t="s">
        <v>24</v>
      </c>
      <c r="G10" s="26" t="s">
        <v>23</v>
      </c>
      <c r="H10" s="27" t="s">
        <v>24</v>
      </c>
      <c r="I10" s="27" t="s">
        <v>24</v>
      </c>
      <c r="J10" s="30">
        <v>3</v>
      </c>
      <c r="K10" s="28" t="s">
        <v>25</v>
      </c>
      <c r="L10" s="29" t="s">
        <v>39</v>
      </c>
      <c r="M10" s="29" t="s">
        <v>40</v>
      </c>
      <c r="N10" s="29" t="s">
        <v>41</v>
      </c>
      <c r="O10" s="18" t="s">
        <v>29</v>
      </c>
      <c r="P10" s="22"/>
    </row>
    <row r="11" spans="1:16" ht="15" customHeight="1" x14ac:dyDescent="0.2">
      <c r="A11" s="23" cm="1">
        <f t="array" ref="A11">1+A10</f>
        <v>2</v>
      </c>
      <c r="B11" s="24" t="s">
        <v>42</v>
      </c>
      <c r="C11" s="24" t="s">
        <v>43</v>
      </c>
      <c r="D11" s="25"/>
      <c r="E11" s="26" t="s">
        <v>23</v>
      </c>
      <c r="F11" s="26" t="s">
        <v>23</v>
      </c>
      <c r="G11" s="26" t="s">
        <v>23</v>
      </c>
      <c r="H11" s="26" t="s">
        <v>23</v>
      </c>
      <c r="I11" s="27" t="s">
        <v>24</v>
      </c>
      <c r="J11" s="23">
        <v>1</v>
      </c>
      <c r="K11" s="29" t="s">
        <v>32</v>
      </c>
      <c r="L11" s="24" t="s">
        <v>44</v>
      </c>
      <c r="M11" s="24" t="s">
        <v>45</v>
      </c>
      <c r="N11" s="24" t="s">
        <v>46</v>
      </c>
      <c r="O11" s="18" t="s">
        <v>36</v>
      </c>
      <c r="P11" s="22"/>
    </row>
    <row r="12" spans="1:16" ht="15" customHeight="1" x14ac:dyDescent="0.2">
      <c r="A12" s="23" cm="1">
        <f t="array" ref="A12">1+A11</f>
        <v>3</v>
      </c>
      <c r="B12" s="29" t="s">
        <v>47</v>
      </c>
      <c r="C12" s="29" t="s">
        <v>48</v>
      </c>
      <c r="D12" s="25"/>
      <c r="E12" s="26" t="s">
        <v>23</v>
      </c>
      <c r="F12" s="26" t="s">
        <v>23</v>
      </c>
      <c r="G12" s="26" t="s">
        <v>23</v>
      </c>
      <c r="H12" s="26" t="s">
        <v>23</v>
      </c>
      <c r="I12" s="27" t="s">
        <v>24</v>
      </c>
      <c r="J12" s="30">
        <v>1</v>
      </c>
      <c r="K12" s="29" t="s">
        <v>32</v>
      </c>
      <c r="L12" s="29" t="s">
        <v>49</v>
      </c>
      <c r="M12" s="29" t="s">
        <v>50</v>
      </c>
      <c r="N12" s="29" t="s">
        <v>51</v>
      </c>
      <c r="O12" s="18" t="s">
        <v>36</v>
      </c>
      <c r="P12" s="22"/>
    </row>
    <row r="13" spans="1:16" ht="15" customHeight="1" x14ac:dyDescent="0.2">
      <c r="A13" s="23" cm="1">
        <f t="array" ref="A13">1+A12</f>
        <v>4</v>
      </c>
      <c r="B13" s="24" t="s">
        <v>52</v>
      </c>
      <c r="C13" s="24" t="s">
        <v>53</v>
      </c>
      <c r="D13" s="25"/>
      <c r="E13" s="26" t="s">
        <v>23</v>
      </c>
      <c r="F13" s="26" t="s">
        <v>23</v>
      </c>
      <c r="G13" s="26" t="s">
        <v>23</v>
      </c>
      <c r="H13" s="26" t="s">
        <v>23</v>
      </c>
      <c r="I13" s="27" t="s">
        <v>24</v>
      </c>
      <c r="J13" s="23">
        <v>1</v>
      </c>
      <c r="K13" s="29" t="s">
        <v>32</v>
      </c>
      <c r="L13" s="24" t="s">
        <v>54</v>
      </c>
      <c r="M13" s="24" t="s">
        <v>55</v>
      </c>
      <c r="N13" s="24" t="s">
        <v>56</v>
      </c>
      <c r="O13" s="18" t="s">
        <v>29</v>
      </c>
      <c r="P13" s="22"/>
    </row>
    <row r="14" spans="1:16" ht="15" customHeight="1" x14ac:dyDescent="0.2">
      <c r="A14" s="20"/>
      <c r="B14" s="13"/>
      <c r="C14" s="13"/>
      <c r="D14" s="14"/>
      <c r="E14" s="15"/>
      <c r="F14" s="15"/>
      <c r="G14" s="16"/>
      <c r="H14" s="16"/>
      <c r="I14" s="16"/>
      <c r="J14" s="12"/>
      <c r="K14" s="17"/>
      <c r="L14" s="13"/>
      <c r="M14" s="13"/>
      <c r="N14" s="13"/>
      <c r="O14" s="18"/>
      <c r="P14" s="22"/>
    </row>
    <row r="15" spans="1:16" ht="15" customHeight="1" x14ac:dyDescent="0.2">
      <c r="A15" s="20"/>
      <c r="B15" s="21"/>
      <c r="C15" s="21"/>
      <c r="D15" s="14"/>
      <c r="E15" s="16"/>
      <c r="F15" s="16"/>
      <c r="G15" s="15"/>
      <c r="H15" s="15"/>
      <c r="I15" s="16"/>
      <c r="J15" s="20"/>
      <c r="K15" s="17"/>
      <c r="L15" s="21"/>
      <c r="M15" s="21"/>
      <c r="N15" s="21"/>
      <c r="O15" s="18"/>
      <c r="P15" s="22"/>
    </row>
    <row r="16" spans="1:16" ht="15" customHeight="1" x14ac:dyDescent="0.2">
      <c r="A16" s="23" cm="1">
        <f t="array" ref="A16">1+A15</f>
        <v>1</v>
      </c>
      <c r="B16" s="29" t="s">
        <v>57</v>
      </c>
      <c r="C16" s="29" t="s">
        <v>58</v>
      </c>
      <c r="D16" s="31" t="s">
        <v>59</v>
      </c>
      <c r="E16" s="26" t="s">
        <v>23</v>
      </c>
      <c r="F16" s="26" t="s">
        <v>23</v>
      </c>
      <c r="G16" s="26" t="s">
        <v>23</v>
      </c>
      <c r="H16" s="26" t="s">
        <v>23</v>
      </c>
      <c r="I16" s="26" t="s">
        <v>23</v>
      </c>
      <c r="J16" s="23">
        <v>0</v>
      </c>
      <c r="K16" s="29" t="s">
        <v>32</v>
      </c>
      <c r="L16" s="13"/>
      <c r="M16" s="29" t="s">
        <v>60</v>
      </c>
      <c r="N16" s="29" t="s">
        <v>61</v>
      </c>
      <c r="O16" s="18" t="s">
        <v>29</v>
      </c>
      <c r="P16" s="22"/>
    </row>
    <row r="17" spans="1:16" ht="15" customHeight="1" x14ac:dyDescent="0.2">
      <c r="A17" s="23" cm="1">
        <f t="array" ref="A17">1+A16</f>
        <v>2</v>
      </c>
      <c r="B17" s="29" t="s">
        <v>62</v>
      </c>
      <c r="C17" s="29" t="s">
        <v>63</v>
      </c>
      <c r="D17" s="31" t="s">
        <v>59</v>
      </c>
      <c r="E17" s="27" t="s">
        <v>24</v>
      </c>
      <c r="F17" s="27" t="s">
        <v>24</v>
      </c>
      <c r="G17" s="27" t="s">
        <v>24</v>
      </c>
      <c r="H17" s="27" t="s">
        <v>24</v>
      </c>
      <c r="I17" s="27" t="s">
        <v>24</v>
      </c>
      <c r="J17" s="30">
        <v>5</v>
      </c>
      <c r="K17" s="28" t="s">
        <v>25</v>
      </c>
      <c r="L17" s="29" t="s">
        <v>64</v>
      </c>
      <c r="M17" s="29" t="s">
        <v>65</v>
      </c>
      <c r="N17" s="29" t="s">
        <v>66</v>
      </c>
      <c r="O17" s="18" t="s">
        <v>29</v>
      </c>
      <c r="P17" s="22"/>
    </row>
    <row r="18" spans="1:16" ht="15" customHeight="1" x14ac:dyDescent="0.2">
      <c r="A18" s="23" cm="1">
        <f t="array" ref="A18">1+A17</f>
        <v>3</v>
      </c>
      <c r="B18" s="24" t="s">
        <v>67</v>
      </c>
      <c r="C18" s="24" t="s">
        <v>68</v>
      </c>
      <c r="D18" s="31" t="s">
        <v>59</v>
      </c>
      <c r="E18" s="26" t="s">
        <v>23</v>
      </c>
      <c r="F18" s="26" t="s">
        <v>23</v>
      </c>
      <c r="G18" s="26" t="s">
        <v>23</v>
      </c>
      <c r="H18" s="27" t="s">
        <v>24</v>
      </c>
      <c r="I18" s="27" t="s">
        <v>24</v>
      </c>
      <c r="J18" s="23">
        <v>2</v>
      </c>
      <c r="K18" s="32" t="s">
        <v>69</v>
      </c>
      <c r="L18" s="24" t="s">
        <v>70</v>
      </c>
      <c r="M18" s="24" t="s">
        <v>71</v>
      </c>
      <c r="N18" s="24" t="s">
        <v>72</v>
      </c>
      <c r="O18" s="18" t="s">
        <v>29</v>
      </c>
      <c r="P18" s="22"/>
    </row>
    <row r="19" spans="1:16" ht="15" customHeight="1" x14ac:dyDescent="0.2">
      <c r="A19" s="23" cm="1">
        <f t="array" ref="A19">1+A18</f>
        <v>4</v>
      </c>
      <c r="B19" s="29" t="s">
        <v>73</v>
      </c>
      <c r="C19" s="29" t="s">
        <v>74</v>
      </c>
      <c r="D19" s="31" t="s">
        <v>59</v>
      </c>
      <c r="E19" s="26" t="s">
        <v>23</v>
      </c>
      <c r="F19" s="26" t="s">
        <v>23</v>
      </c>
      <c r="G19" s="26" t="s">
        <v>23</v>
      </c>
      <c r="H19" s="27" t="s">
        <v>24</v>
      </c>
      <c r="I19" s="26" t="s">
        <v>23</v>
      </c>
      <c r="J19" s="30">
        <v>1</v>
      </c>
      <c r="K19" s="29" t="s">
        <v>32</v>
      </c>
      <c r="L19" s="29" t="s">
        <v>75</v>
      </c>
      <c r="M19" s="29" t="s">
        <v>76</v>
      </c>
      <c r="N19" s="29" t="s">
        <v>77</v>
      </c>
      <c r="O19" s="18" t="s">
        <v>36</v>
      </c>
      <c r="P19" s="22"/>
    </row>
    <row r="20" spans="1:16" ht="15" customHeight="1" x14ac:dyDescent="0.2">
      <c r="A20" s="23" cm="1">
        <f t="array" ref="A20">1+A19</f>
        <v>5</v>
      </c>
      <c r="B20" s="24" t="s">
        <v>78</v>
      </c>
      <c r="C20" s="24" t="s">
        <v>79</v>
      </c>
      <c r="D20" s="31" t="s">
        <v>59</v>
      </c>
      <c r="E20" s="26" t="s">
        <v>23</v>
      </c>
      <c r="F20" s="26" t="s">
        <v>23</v>
      </c>
      <c r="G20" s="26" t="s">
        <v>23</v>
      </c>
      <c r="H20" s="26" t="s">
        <v>23</v>
      </c>
      <c r="I20" s="27" t="s">
        <v>24</v>
      </c>
      <c r="J20" s="23">
        <v>1</v>
      </c>
      <c r="K20" s="29" t="s">
        <v>32</v>
      </c>
      <c r="L20" s="24" t="s">
        <v>80</v>
      </c>
      <c r="M20" s="24" t="s">
        <v>81</v>
      </c>
      <c r="N20" s="24" t="s">
        <v>82</v>
      </c>
      <c r="O20" s="18" t="s">
        <v>29</v>
      </c>
      <c r="P20" s="22"/>
    </row>
    <row r="21" spans="1:16" ht="15" customHeight="1" x14ac:dyDescent="0.2">
      <c r="A21" s="23" cm="1">
        <f t="array" ref="A21">1+A20</f>
        <v>6</v>
      </c>
      <c r="B21" s="29" t="s">
        <v>83</v>
      </c>
      <c r="C21" s="29" t="s">
        <v>84</v>
      </c>
      <c r="D21" s="31" t="s">
        <v>59</v>
      </c>
      <c r="E21" s="26" t="s">
        <v>23</v>
      </c>
      <c r="F21" s="26" t="s">
        <v>23</v>
      </c>
      <c r="G21" s="27" t="s">
        <v>24</v>
      </c>
      <c r="H21" s="27" t="s">
        <v>24</v>
      </c>
      <c r="I21" s="27" t="s">
        <v>24</v>
      </c>
      <c r="J21" s="30">
        <v>3</v>
      </c>
      <c r="K21" s="28" t="s">
        <v>25</v>
      </c>
      <c r="L21" s="29" t="s">
        <v>85</v>
      </c>
      <c r="M21" s="29" t="s">
        <v>86</v>
      </c>
      <c r="N21" s="29" t="s">
        <v>87</v>
      </c>
      <c r="O21" s="18" t="s">
        <v>29</v>
      </c>
      <c r="P21" s="22"/>
    </row>
    <row r="22" spans="1:16" ht="15" customHeight="1" x14ac:dyDescent="0.2">
      <c r="A22" s="23" cm="1">
        <f t="array" ref="A22">1+A21</f>
        <v>7</v>
      </c>
      <c r="B22" s="24" t="s">
        <v>88</v>
      </c>
      <c r="C22" s="24" t="s">
        <v>89</v>
      </c>
      <c r="D22" s="31" t="s">
        <v>59</v>
      </c>
      <c r="E22" s="26" t="s">
        <v>23</v>
      </c>
      <c r="F22" s="26" t="s">
        <v>23</v>
      </c>
      <c r="G22" s="26" t="s">
        <v>23</v>
      </c>
      <c r="H22" s="26" t="s">
        <v>23</v>
      </c>
      <c r="I22" s="27" t="s">
        <v>24</v>
      </c>
      <c r="J22" s="23">
        <v>1</v>
      </c>
      <c r="K22" s="29" t="s">
        <v>32</v>
      </c>
      <c r="L22" s="24" t="s">
        <v>90</v>
      </c>
      <c r="M22" s="24" t="s">
        <v>91</v>
      </c>
      <c r="N22" s="24" t="s">
        <v>92</v>
      </c>
      <c r="O22" s="18" t="s">
        <v>29</v>
      </c>
      <c r="P22" s="22"/>
    </row>
    <row r="23" spans="1:16" ht="15" customHeight="1" x14ac:dyDescent="0.2">
      <c r="A23" s="23" cm="1">
        <f t="array" ref="A23">1+A22</f>
        <v>8</v>
      </c>
      <c r="B23" s="29" t="s">
        <v>93</v>
      </c>
      <c r="C23" s="29" t="s">
        <v>94</v>
      </c>
      <c r="D23" s="31" t="s">
        <v>59</v>
      </c>
      <c r="E23" s="26" t="s">
        <v>23</v>
      </c>
      <c r="F23" s="27" t="s">
        <v>24</v>
      </c>
      <c r="G23" s="27" t="s">
        <v>24</v>
      </c>
      <c r="H23" s="27" t="s">
        <v>24</v>
      </c>
      <c r="I23" s="27" t="s">
        <v>24</v>
      </c>
      <c r="J23" s="30">
        <v>4</v>
      </c>
      <c r="K23" s="28" t="s">
        <v>25</v>
      </c>
      <c r="L23" s="29" t="s">
        <v>95</v>
      </c>
      <c r="M23" s="29" t="s">
        <v>96</v>
      </c>
      <c r="N23" s="29" t="s">
        <v>97</v>
      </c>
      <c r="O23" s="18" t="s">
        <v>29</v>
      </c>
      <c r="P23" s="22"/>
    </row>
    <row r="24" spans="1:16" ht="15" customHeight="1" x14ac:dyDescent="0.2">
      <c r="A24" s="23" cm="1">
        <f t="array" ref="A24">1+A23</f>
        <v>9</v>
      </c>
      <c r="B24" s="24" t="s">
        <v>98</v>
      </c>
      <c r="C24" s="24" t="s">
        <v>99</v>
      </c>
      <c r="D24" s="31" t="s">
        <v>59</v>
      </c>
      <c r="E24" s="26" t="s">
        <v>23</v>
      </c>
      <c r="F24" s="26" t="s">
        <v>23</v>
      </c>
      <c r="G24" s="27" t="s">
        <v>24</v>
      </c>
      <c r="H24" s="27" t="s">
        <v>24</v>
      </c>
      <c r="I24" s="27" t="s">
        <v>24</v>
      </c>
      <c r="J24" s="23">
        <v>3</v>
      </c>
      <c r="K24" s="28" t="s">
        <v>25</v>
      </c>
      <c r="L24" s="24" t="s">
        <v>100</v>
      </c>
      <c r="M24" s="24" t="s">
        <v>101</v>
      </c>
      <c r="N24" s="24" t="s">
        <v>102</v>
      </c>
      <c r="O24" s="18" t="s">
        <v>29</v>
      </c>
      <c r="P24" s="22"/>
    </row>
    <row r="25" spans="1:16" ht="15" customHeight="1" x14ac:dyDescent="0.2">
      <c r="A25" s="23" cm="1">
        <f t="array" ref="A25">1+A24</f>
        <v>10</v>
      </c>
      <c r="B25" s="24" t="s">
        <v>52</v>
      </c>
      <c r="C25" s="24" t="s">
        <v>53</v>
      </c>
      <c r="D25" s="31" t="s">
        <v>59</v>
      </c>
      <c r="E25" s="26" t="s">
        <v>23</v>
      </c>
      <c r="F25" s="26" t="s">
        <v>23</v>
      </c>
      <c r="G25" s="26" t="s">
        <v>23</v>
      </c>
      <c r="H25" s="26" t="s">
        <v>23</v>
      </c>
      <c r="I25" s="27" t="s">
        <v>24</v>
      </c>
      <c r="J25" s="23">
        <v>1</v>
      </c>
      <c r="K25" s="29" t="s">
        <v>32</v>
      </c>
      <c r="L25" s="24" t="s">
        <v>54</v>
      </c>
      <c r="M25" s="24" t="s">
        <v>55</v>
      </c>
      <c r="N25" s="24" t="s">
        <v>56</v>
      </c>
      <c r="O25" s="18" t="s">
        <v>29</v>
      </c>
      <c r="P25" s="22"/>
    </row>
    <row r="26" spans="1:16" ht="15" customHeight="1" x14ac:dyDescent="0.2">
      <c r="A26" s="23" cm="1">
        <f t="array" ref="A26">1+A25</f>
        <v>11</v>
      </c>
      <c r="B26" s="29" t="s">
        <v>103</v>
      </c>
      <c r="C26" s="29" t="s">
        <v>104</v>
      </c>
      <c r="D26" s="31" t="s">
        <v>59</v>
      </c>
      <c r="E26" s="26" t="s">
        <v>23</v>
      </c>
      <c r="F26" s="26" t="s">
        <v>23</v>
      </c>
      <c r="G26" s="27" t="s">
        <v>24</v>
      </c>
      <c r="H26" s="27" t="s">
        <v>24</v>
      </c>
      <c r="I26" s="27" t="s">
        <v>24</v>
      </c>
      <c r="J26" s="30">
        <v>3</v>
      </c>
      <c r="K26" s="28" t="s">
        <v>25</v>
      </c>
      <c r="L26" s="29" t="s">
        <v>105</v>
      </c>
      <c r="M26" s="29" t="s">
        <v>106</v>
      </c>
      <c r="N26" s="29" t="s">
        <v>107</v>
      </c>
      <c r="O26" s="18" t="s">
        <v>29</v>
      </c>
      <c r="P26" s="22"/>
    </row>
    <row r="27" spans="1:16" ht="15" customHeight="1" x14ac:dyDescent="0.2">
      <c r="A27" s="23" cm="1">
        <f t="array" ref="A27">1+A26</f>
        <v>12</v>
      </c>
      <c r="B27" s="29" t="s">
        <v>108</v>
      </c>
      <c r="C27" s="29" t="s">
        <v>109</v>
      </c>
      <c r="D27" s="31" t="s">
        <v>59</v>
      </c>
      <c r="E27" s="26" t="s">
        <v>23</v>
      </c>
      <c r="F27" s="26" t="s">
        <v>23</v>
      </c>
      <c r="G27" s="26" t="s">
        <v>23</v>
      </c>
      <c r="H27" s="26" t="s">
        <v>23</v>
      </c>
      <c r="I27" s="26" t="s">
        <v>23</v>
      </c>
      <c r="J27" s="23">
        <v>0</v>
      </c>
      <c r="K27" s="29" t="s">
        <v>32</v>
      </c>
      <c r="L27" s="29" t="s">
        <v>110</v>
      </c>
      <c r="M27" s="29" t="s">
        <v>111</v>
      </c>
      <c r="N27" s="29" t="s">
        <v>112</v>
      </c>
      <c r="O27" s="18" t="s">
        <v>29</v>
      </c>
      <c r="P27" s="22"/>
    </row>
    <row r="28" spans="1:16" ht="13.5" customHeight="1" x14ac:dyDescent="0.2">
      <c r="A28" s="23" cm="1">
        <f t="array" ref="A28">1+A27</f>
        <v>13</v>
      </c>
      <c r="B28" s="24" t="s">
        <v>113</v>
      </c>
      <c r="C28" s="24" t="s">
        <v>114</v>
      </c>
      <c r="D28" s="31" t="s">
        <v>59</v>
      </c>
      <c r="E28" s="26" t="s">
        <v>23</v>
      </c>
      <c r="F28" s="26" t="s">
        <v>23</v>
      </c>
      <c r="G28" s="26" t="s">
        <v>23</v>
      </c>
      <c r="H28" s="26" t="s">
        <v>23</v>
      </c>
      <c r="I28" s="26" t="s">
        <v>23</v>
      </c>
      <c r="J28" s="23">
        <v>0</v>
      </c>
      <c r="K28" s="29" t="s">
        <v>32</v>
      </c>
      <c r="L28" s="24" t="s">
        <v>115</v>
      </c>
      <c r="M28" s="24" t="s">
        <v>116</v>
      </c>
      <c r="N28" s="24" t="s">
        <v>117</v>
      </c>
      <c r="O28" s="18" t="s">
        <v>29</v>
      </c>
      <c r="P28" s="22"/>
    </row>
    <row r="29" spans="1:16" ht="13.5" customHeight="1" x14ac:dyDescent="0.2">
      <c r="A29" s="23" cm="1">
        <f t="array" ref="A29">1+A28</f>
        <v>14</v>
      </c>
      <c r="B29" s="24" t="s">
        <v>118</v>
      </c>
      <c r="C29" s="24" t="s">
        <v>119</v>
      </c>
      <c r="D29" s="31" t="s">
        <v>120</v>
      </c>
      <c r="E29" s="26" t="s">
        <v>23</v>
      </c>
      <c r="F29" s="26" t="s">
        <v>23</v>
      </c>
      <c r="G29" s="26" t="s">
        <v>23</v>
      </c>
      <c r="H29" s="26" t="s">
        <v>23</v>
      </c>
      <c r="I29" s="26" t="s">
        <v>23</v>
      </c>
      <c r="J29" s="23">
        <v>0</v>
      </c>
      <c r="K29" s="29" t="s">
        <v>32</v>
      </c>
      <c r="L29" s="24" t="s">
        <v>121</v>
      </c>
      <c r="M29" s="24" t="s">
        <v>122</v>
      </c>
      <c r="N29" s="24" t="s">
        <v>123</v>
      </c>
      <c r="O29" s="18" t="s">
        <v>29</v>
      </c>
      <c r="P29" s="22"/>
    </row>
    <row r="30" spans="1:16" ht="13.5" customHeight="1" x14ac:dyDescent="0.2">
      <c r="A30" s="23" cm="1">
        <f t="array" ref="A30">1+A29</f>
        <v>15</v>
      </c>
      <c r="B30" s="24" t="s">
        <v>124</v>
      </c>
      <c r="C30" s="24" t="s">
        <v>125</v>
      </c>
      <c r="D30" s="31" t="s">
        <v>59</v>
      </c>
      <c r="E30" s="26" t="s">
        <v>23</v>
      </c>
      <c r="F30" s="26" t="s">
        <v>23</v>
      </c>
      <c r="G30" s="26" t="s">
        <v>23</v>
      </c>
      <c r="H30" s="26" t="s">
        <v>23</v>
      </c>
      <c r="I30" s="26" t="s">
        <v>23</v>
      </c>
      <c r="J30" s="23">
        <v>0</v>
      </c>
      <c r="K30" s="29" t="s">
        <v>32</v>
      </c>
      <c r="L30" s="24" t="s">
        <v>126</v>
      </c>
      <c r="M30" s="24" t="s">
        <v>127</v>
      </c>
      <c r="N30" s="24" t="s">
        <v>128</v>
      </c>
      <c r="O30" s="18" t="s">
        <v>29</v>
      </c>
      <c r="P30" s="22"/>
    </row>
    <row r="31" spans="1:16" ht="15" customHeight="1" x14ac:dyDescent="0.2">
      <c r="A31" s="23" cm="1">
        <f t="array" ref="A31">1+A30</f>
        <v>16</v>
      </c>
      <c r="B31" s="24" t="s">
        <v>129</v>
      </c>
      <c r="C31" s="24" t="s">
        <v>104</v>
      </c>
      <c r="D31" s="31" t="s">
        <v>59</v>
      </c>
      <c r="E31" s="27" t="s">
        <v>24</v>
      </c>
      <c r="F31" s="27" t="s">
        <v>24</v>
      </c>
      <c r="G31" s="26" t="s">
        <v>23</v>
      </c>
      <c r="H31" s="26" t="s">
        <v>23</v>
      </c>
      <c r="I31" s="27" t="s">
        <v>24</v>
      </c>
      <c r="J31" s="23">
        <v>3</v>
      </c>
      <c r="K31" s="28" t="s">
        <v>25</v>
      </c>
      <c r="L31" s="24" t="s">
        <v>130</v>
      </c>
      <c r="M31" s="24" t="s">
        <v>131</v>
      </c>
      <c r="N31" s="24" t="s">
        <v>132</v>
      </c>
      <c r="O31" s="18" t="s">
        <v>29</v>
      </c>
      <c r="P31" s="22"/>
    </row>
    <row r="32" spans="1:16" ht="15" customHeight="1" x14ac:dyDescent="0.2">
      <c r="A32" s="23" cm="1">
        <f t="array" ref="A32">1+A31</f>
        <v>17</v>
      </c>
      <c r="B32" s="29" t="s">
        <v>133</v>
      </c>
      <c r="C32" s="29" t="s">
        <v>134</v>
      </c>
      <c r="D32" s="33" t="s">
        <v>135</v>
      </c>
      <c r="E32" s="15"/>
      <c r="F32" s="15"/>
      <c r="G32" s="15"/>
      <c r="H32" s="15"/>
      <c r="I32" s="15"/>
      <c r="J32" s="23">
        <v>0</v>
      </c>
      <c r="K32" s="29" t="s">
        <v>32</v>
      </c>
      <c r="L32" s="29" t="s">
        <v>136</v>
      </c>
      <c r="M32" s="29" t="s">
        <v>137</v>
      </c>
      <c r="N32" s="29" t="s">
        <v>138</v>
      </c>
      <c r="O32" s="18" t="s">
        <v>36</v>
      </c>
      <c r="P32" s="22"/>
    </row>
    <row r="33" spans="1:16" ht="15" customHeight="1" x14ac:dyDescent="0.2">
      <c r="A33" s="23" cm="1">
        <f t="array" ref="A33">1+A32</f>
        <v>18</v>
      </c>
      <c r="B33" s="24" t="s">
        <v>139</v>
      </c>
      <c r="C33" s="24" t="s">
        <v>140</v>
      </c>
      <c r="D33" s="33" t="s">
        <v>135</v>
      </c>
      <c r="E33" s="15"/>
      <c r="F33" s="15"/>
      <c r="G33" s="15"/>
      <c r="H33" s="15"/>
      <c r="I33" s="15"/>
      <c r="J33" s="23">
        <v>0</v>
      </c>
      <c r="K33" s="29" t="s">
        <v>32</v>
      </c>
      <c r="L33" s="24" t="s">
        <v>141</v>
      </c>
      <c r="M33" s="24" t="s">
        <v>142</v>
      </c>
      <c r="N33" s="21"/>
      <c r="O33" s="18" t="s">
        <v>29</v>
      </c>
      <c r="P33" s="22"/>
    </row>
    <row r="34" spans="1:16" ht="15" customHeight="1" x14ac:dyDescent="0.2">
      <c r="A34" s="23" cm="1">
        <f t="array" ref="A34">1+A33</f>
        <v>19</v>
      </c>
      <c r="B34" s="29" t="s">
        <v>57</v>
      </c>
      <c r="C34" s="29" t="s">
        <v>58</v>
      </c>
      <c r="D34" s="33" t="s">
        <v>135</v>
      </c>
      <c r="E34" s="26" t="s">
        <v>23</v>
      </c>
      <c r="F34" s="26" t="s">
        <v>23</v>
      </c>
      <c r="G34" s="26" t="s">
        <v>23</v>
      </c>
      <c r="H34" s="26" t="s">
        <v>23</v>
      </c>
      <c r="I34" s="26" t="s">
        <v>23</v>
      </c>
      <c r="J34" s="23">
        <v>0</v>
      </c>
      <c r="K34" s="29" t="s">
        <v>32</v>
      </c>
      <c r="L34" s="13"/>
      <c r="M34" s="29" t="s">
        <v>60</v>
      </c>
      <c r="N34" s="29" t="s">
        <v>61</v>
      </c>
      <c r="O34" s="18" t="s">
        <v>29</v>
      </c>
      <c r="P34" s="22"/>
    </row>
    <row r="35" spans="1:16" ht="15" customHeight="1" x14ac:dyDescent="0.2">
      <c r="A35" s="23" cm="1">
        <f t="array" ref="A35">1+A34</f>
        <v>20</v>
      </c>
      <c r="B35" s="29" t="s">
        <v>143</v>
      </c>
      <c r="C35" s="29" t="s">
        <v>84</v>
      </c>
      <c r="D35" s="34" t="s">
        <v>135</v>
      </c>
      <c r="E35" s="26" t="s">
        <v>23</v>
      </c>
      <c r="F35" s="27" t="s">
        <v>24</v>
      </c>
      <c r="G35" s="27" t="s">
        <v>24</v>
      </c>
      <c r="H35" s="27" t="s">
        <v>24</v>
      </c>
      <c r="I35" s="27" t="s">
        <v>24</v>
      </c>
      <c r="J35" s="30">
        <v>4</v>
      </c>
      <c r="K35" s="28" t="s">
        <v>25</v>
      </c>
      <c r="L35" s="29" t="s">
        <v>144</v>
      </c>
      <c r="M35" s="29" t="s">
        <v>145</v>
      </c>
      <c r="N35" s="29" t="s">
        <v>146</v>
      </c>
      <c r="O35" s="18" t="s">
        <v>29</v>
      </c>
      <c r="P35" s="22"/>
    </row>
    <row r="36" spans="1:16" ht="15" customHeight="1" x14ac:dyDescent="0.2">
      <c r="A36" s="23" cm="1">
        <f t="array" ref="A36">1+A35</f>
        <v>21</v>
      </c>
      <c r="B36" s="24" t="s">
        <v>147</v>
      </c>
      <c r="C36" s="24" t="s">
        <v>99</v>
      </c>
      <c r="D36" s="34" t="s">
        <v>135</v>
      </c>
      <c r="E36" s="26" t="s">
        <v>23</v>
      </c>
      <c r="F36" s="26" t="s">
        <v>23</v>
      </c>
      <c r="G36" s="27" t="s">
        <v>24</v>
      </c>
      <c r="H36" s="27" t="s">
        <v>24</v>
      </c>
      <c r="I36" s="27" t="s">
        <v>24</v>
      </c>
      <c r="J36" s="23">
        <v>3</v>
      </c>
      <c r="K36" s="28" t="s">
        <v>25</v>
      </c>
      <c r="L36" s="24" t="s">
        <v>148</v>
      </c>
      <c r="M36" s="24" t="s">
        <v>149</v>
      </c>
      <c r="N36" s="24" t="s">
        <v>150</v>
      </c>
      <c r="O36" s="18" t="s">
        <v>29</v>
      </c>
      <c r="P36" s="22"/>
    </row>
    <row r="37" spans="1:16" ht="15" customHeight="1" x14ac:dyDescent="0.2">
      <c r="A37" s="23" cm="1">
        <f t="array" ref="A37">1+A36</f>
        <v>22</v>
      </c>
      <c r="B37" s="29" t="s">
        <v>151</v>
      </c>
      <c r="C37" s="29" t="s">
        <v>22</v>
      </c>
      <c r="D37" s="34" t="s">
        <v>135</v>
      </c>
      <c r="E37" s="26" t="s">
        <v>23</v>
      </c>
      <c r="F37" s="26" t="s">
        <v>23</v>
      </c>
      <c r="G37" s="27" t="s">
        <v>24</v>
      </c>
      <c r="H37" s="27" t="s">
        <v>24</v>
      </c>
      <c r="I37" s="27" t="s">
        <v>24</v>
      </c>
      <c r="J37" s="30">
        <v>3</v>
      </c>
      <c r="K37" s="28" t="s">
        <v>25</v>
      </c>
      <c r="L37" s="29" t="s">
        <v>152</v>
      </c>
      <c r="M37" s="29" t="s">
        <v>153</v>
      </c>
      <c r="N37" s="29" t="s">
        <v>154</v>
      </c>
      <c r="O37" s="18" t="s">
        <v>29</v>
      </c>
      <c r="P37" s="22"/>
    </row>
    <row r="38" spans="1:16" ht="15" customHeight="1" x14ac:dyDescent="0.2">
      <c r="A38" s="23" cm="1">
        <f t="array" ref="A38">1+A37</f>
        <v>23</v>
      </c>
      <c r="B38" s="24" t="s">
        <v>155</v>
      </c>
      <c r="C38" s="24" t="s">
        <v>156</v>
      </c>
      <c r="D38" s="34" t="s">
        <v>135</v>
      </c>
      <c r="E38" s="26" t="s">
        <v>23</v>
      </c>
      <c r="F38" s="26" t="s">
        <v>23</v>
      </c>
      <c r="G38" s="26" t="s">
        <v>23</v>
      </c>
      <c r="H38" s="27" t="s">
        <v>24</v>
      </c>
      <c r="I38" s="27" t="s">
        <v>24</v>
      </c>
      <c r="J38" s="23">
        <v>2</v>
      </c>
      <c r="K38" s="32" t="s">
        <v>69</v>
      </c>
      <c r="L38" s="24" t="s">
        <v>157</v>
      </c>
      <c r="M38" s="24" t="s">
        <v>158</v>
      </c>
      <c r="N38" s="24" t="s">
        <v>159</v>
      </c>
      <c r="O38" s="18" t="s">
        <v>29</v>
      </c>
      <c r="P38" s="22"/>
    </row>
    <row r="39" spans="1:16" ht="15" customHeight="1" x14ac:dyDescent="0.2">
      <c r="A39" s="23" cm="1">
        <f t="array" ref="A39">1+A38</f>
        <v>24</v>
      </c>
      <c r="B39" s="29" t="s">
        <v>160</v>
      </c>
      <c r="C39" s="29" t="s">
        <v>161</v>
      </c>
      <c r="D39" s="34" t="s">
        <v>135</v>
      </c>
      <c r="E39" s="26" t="s">
        <v>23</v>
      </c>
      <c r="F39" s="26" t="s">
        <v>23</v>
      </c>
      <c r="G39" s="26" t="s">
        <v>23</v>
      </c>
      <c r="H39" s="26" t="s">
        <v>23</v>
      </c>
      <c r="I39" s="27" t="s">
        <v>24</v>
      </c>
      <c r="J39" s="30">
        <v>1</v>
      </c>
      <c r="K39" s="29" t="s">
        <v>32</v>
      </c>
      <c r="L39" s="29" t="s">
        <v>162</v>
      </c>
      <c r="M39" s="29" t="s">
        <v>163</v>
      </c>
      <c r="N39" s="29" t="s">
        <v>164</v>
      </c>
      <c r="O39" s="18" t="s">
        <v>29</v>
      </c>
      <c r="P39" s="22"/>
    </row>
    <row r="40" spans="1:16" ht="15" customHeight="1" x14ac:dyDescent="0.2">
      <c r="A40" s="23" cm="1">
        <f t="array" ref="A40">1+A39</f>
        <v>25</v>
      </c>
      <c r="B40" s="24" t="s">
        <v>165</v>
      </c>
      <c r="C40" s="24" t="s">
        <v>166</v>
      </c>
      <c r="D40" s="34" t="s">
        <v>135</v>
      </c>
      <c r="E40" s="26" t="s">
        <v>23</v>
      </c>
      <c r="F40" s="26" t="s">
        <v>23</v>
      </c>
      <c r="G40" s="26" t="s">
        <v>23</v>
      </c>
      <c r="H40" s="26" t="s">
        <v>23</v>
      </c>
      <c r="I40" s="27" t="s">
        <v>24</v>
      </c>
      <c r="J40" s="23">
        <v>1</v>
      </c>
      <c r="K40" s="29" t="s">
        <v>32</v>
      </c>
      <c r="L40" s="24" t="s">
        <v>167</v>
      </c>
      <c r="M40" s="24" t="s">
        <v>168</v>
      </c>
      <c r="N40" s="24" t="s">
        <v>169</v>
      </c>
      <c r="O40" s="18" t="s">
        <v>29</v>
      </c>
      <c r="P40" s="22"/>
    </row>
    <row r="41" spans="1:16" ht="15" customHeight="1" x14ac:dyDescent="0.2">
      <c r="A41" s="23" cm="1">
        <f t="array" ref="A41">1+A40</f>
        <v>26</v>
      </c>
      <c r="B41" s="29" t="s">
        <v>170</v>
      </c>
      <c r="C41" s="29" t="s">
        <v>171</v>
      </c>
      <c r="D41" s="34" t="s">
        <v>135</v>
      </c>
      <c r="E41" s="26" t="s">
        <v>23</v>
      </c>
      <c r="F41" s="26" t="s">
        <v>23</v>
      </c>
      <c r="G41" s="27" t="s">
        <v>24</v>
      </c>
      <c r="H41" s="27" t="s">
        <v>24</v>
      </c>
      <c r="I41" s="26" t="s">
        <v>23</v>
      </c>
      <c r="J41" s="30">
        <v>2</v>
      </c>
      <c r="K41" s="32" t="s">
        <v>69</v>
      </c>
      <c r="L41" s="29" t="s">
        <v>172</v>
      </c>
      <c r="M41" s="29" t="s">
        <v>173</v>
      </c>
      <c r="N41" s="29" t="s">
        <v>174</v>
      </c>
      <c r="O41" s="18" t="s">
        <v>29</v>
      </c>
      <c r="P41" s="22"/>
    </row>
    <row r="42" spans="1:16" ht="13.5" customHeight="1" x14ac:dyDescent="0.2">
      <c r="A42" s="23" cm="1">
        <f t="array" ref="A42">1+A41</f>
        <v>27</v>
      </c>
      <c r="B42" s="24" t="s">
        <v>98</v>
      </c>
      <c r="C42" s="24" t="s">
        <v>99</v>
      </c>
      <c r="D42" s="34" t="s">
        <v>135</v>
      </c>
      <c r="E42" s="26" t="s">
        <v>23</v>
      </c>
      <c r="F42" s="26" t="s">
        <v>23</v>
      </c>
      <c r="G42" s="27" t="s">
        <v>24</v>
      </c>
      <c r="H42" s="27" t="s">
        <v>24</v>
      </c>
      <c r="I42" s="27" t="s">
        <v>24</v>
      </c>
      <c r="J42" s="23">
        <v>3</v>
      </c>
      <c r="K42" s="28" t="s">
        <v>25</v>
      </c>
      <c r="L42" s="24" t="s">
        <v>100</v>
      </c>
      <c r="M42" s="24" t="s">
        <v>101</v>
      </c>
      <c r="N42" s="24" t="s">
        <v>102</v>
      </c>
      <c r="O42" s="18" t="s">
        <v>29</v>
      </c>
      <c r="P42" s="35"/>
    </row>
    <row r="43" spans="1:16" ht="15" customHeight="1" x14ac:dyDescent="0.2">
      <c r="A43" s="23" cm="1">
        <f t="array" ref="A43">1+A42</f>
        <v>28</v>
      </c>
      <c r="B43" s="24" t="s">
        <v>175</v>
      </c>
      <c r="C43" s="24" t="s">
        <v>38</v>
      </c>
      <c r="D43" s="34" t="s">
        <v>135</v>
      </c>
      <c r="E43" s="26" t="s">
        <v>23</v>
      </c>
      <c r="F43" s="26" t="s">
        <v>23</v>
      </c>
      <c r="G43" s="26" t="s">
        <v>23</v>
      </c>
      <c r="H43" s="27" t="s">
        <v>24</v>
      </c>
      <c r="I43" s="26" t="s">
        <v>23</v>
      </c>
      <c r="J43" s="23">
        <v>1</v>
      </c>
      <c r="K43" s="29" t="s">
        <v>32</v>
      </c>
      <c r="L43" s="24" t="s">
        <v>176</v>
      </c>
      <c r="M43" s="24" t="s">
        <v>27</v>
      </c>
      <c r="N43" s="24" t="s">
        <v>177</v>
      </c>
      <c r="O43" s="18" t="s">
        <v>29</v>
      </c>
      <c r="P43" s="22"/>
    </row>
    <row r="44" spans="1:16" ht="15" customHeight="1" x14ac:dyDescent="0.2">
      <c r="A44" s="23" cm="1">
        <f t="array" ref="A44">1+A43</f>
        <v>29</v>
      </c>
      <c r="B44" s="29" t="s">
        <v>178</v>
      </c>
      <c r="C44" s="29" t="s">
        <v>179</v>
      </c>
      <c r="D44" s="34" t="s">
        <v>135</v>
      </c>
      <c r="E44" s="26" t="s">
        <v>23</v>
      </c>
      <c r="F44" s="26" t="s">
        <v>23</v>
      </c>
      <c r="G44" s="27" t="s">
        <v>24</v>
      </c>
      <c r="H44" s="26" t="s">
        <v>23</v>
      </c>
      <c r="I44" s="26" t="s">
        <v>23</v>
      </c>
      <c r="J44" s="30">
        <v>1</v>
      </c>
      <c r="K44" s="29" t="s">
        <v>32</v>
      </c>
      <c r="L44" s="29" t="s">
        <v>180</v>
      </c>
      <c r="M44" s="29" t="s">
        <v>181</v>
      </c>
      <c r="N44" s="29" t="s">
        <v>182</v>
      </c>
      <c r="O44" s="18" t="s">
        <v>36</v>
      </c>
      <c r="P44" s="22"/>
    </row>
    <row r="45" spans="1:16" ht="15" customHeight="1" x14ac:dyDescent="0.2">
      <c r="A45" s="23" cm="1">
        <f t="array" ref="A45">1+A44</f>
        <v>30</v>
      </c>
      <c r="B45" s="24" t="s">
        <v>183</v>
      </c>
      <c r="C45" s="24" t="s">
        <v>104</v>
      </c>
      <c r="D45" s="33" t="s">
        <v>135</v>
      </c>
      <c r="E45" s="26" t="s">
        <v>23</v>
      </c>
      <c r="F45" s="26" t="s">
        <v>23</v>
      </c>
      <c r="G45" s="26" t="s">
        <v>23</v>
      </c>
      <c r="H45" s="26" t="s">
        <v>23</v>
      </c>
      <c r="I45" s="26" t="s">
        <v>23</v>
      </c>
      <c r="J45" s="23">
        <v>0</v>
      </c>
      <c r="K45" s="29" t="s">
        <v>32</v>
      </c>
      <c r="L45" s="24" t="s">
        <v>184</v>
      </c>
      <c r="M45" s="24" t="s">
        <v>185</v>
      </c>
      <c r="N45" s="24" t="s">
        <v>186</v>
      </c>
      <c r="O45" s="18" t="s">
        <v>29</v>
      </c>
      <c r="P45" s="22"/>
    </row>
    <row r="46" spans="1:16" ht="13.5" customHeight="1" x14ac:dyDescent="0.2">
      <c r="A46" s="23" cm="1">
        <f t="array" ref="A46">1+A45</f>
        <v>31</v>
      </c>
      <c r="B46" s="29" t="s">
        <v>187</v>
      </c>
      <c r="C46" s="29" t="s">
        <v>166</v>
      </c>
      <c r="D46" s="34" t="s">
        <v>135</v>
      </c>
      <c r="E46" s="26" t="s">
        <v>23</v>
      </c>
      <c r="F46" s="27" t="s">
        <v>24</v>
      </c>
      <c r="G46" s="26" t="s">
        <v>23</v>
      </c>
      <c r="H46" s="26" t="s">
        <v>23</v>
      </c>
      <c r="I46" s="26" t="s">
        <v>23</v>
      </c>
      <c r="J46" s="30">
        <v>1</v>
      </c>
      <c r="K46" s="29" t="s">
        <v>32</v>
      </c>
      <c r="L46" s="29" t="s">
        <v>188</v>
      </c>
      <c r="M46" s="29" t="s">
        <v>189</v>
      </c>
      <c r="N46" s="29" t="s">
        <v>190</v>
      </c>
      <c r="O46" s="18" t="s">
        <v>29</v>
      </c>
      <c r="P46" s="22"/>
    </row>
    <row r="47" spans="1:16" ht="13.5" customHeight="1" x14ac:dyDescent="0.2">
      <c r="A47" s="23" cm="1">
        <f t="array" ref="A47">1+A46</f>
        <v>32</v>
      </c>
      <c r="B47" s="24" t="s">
        <v>191</v>
      </c>
      <c r="C47" s="24" t="s">
        <v>192</v>
      </c>
      <c r="D47" s="34" t="s">
        <v>135</v>
      </c>
      <c r="E47" s="26" t="s">
        <v>23</v>
      </c>
      <c r="F47" s="27" t="s">
        <v>24</v>
      </c>
      <c r="G47" s="26" t="s">
        <v>23</v>
      </c>
      <c r="H47" s="26" t="s">
        <v>23</v>
      </c>
      <c r="I47" s="26" t="s">
        <v>23</v>
      </c>
      <c r="J47" s="23">
        <v>1</v>
      </c>
      <c r="K47" s="29" t="s">
        <v>32</v>
      </c>
      <c r="L47" s="24" t="s">
        <v>193</v>
      </c>
      <c r="M47" s="24" t="s">
        <v>194</v>
      </c>
      <c r="N47" s="24" t="s">
        <v>195</v>
      </c>
      <c r="O47" s="18" t="s">
        <v>36</v>
      </c>
      <c r="P47" s="35"/>
    </row>
    <row r="48" spans="1:16" ht="13.5" customHeight="1" x14ac:dyDescent="0.2">
      <c r="A48" s="23" cm="1">
        <f t="array" ref="A48">1+A47</f>
        <v>33</v>
      </c>
      <c r="B48" s="29" t="s">
        <v>196</v>
      </c>
      <c r="C48" s="29" t="s">
        <v>197</v>
      </c>
      <c r="D48" s="34" t="s">
        <v>135</v>
      </c>
      <c r="E48" s="26" t="s">
        <v>23</v>
      </c>
      <c r="F48" s="27" t="s">
        <v>24</v>
      </c>
      <c r="G48" s="26" t="s">
        <v>23</v>
      </c>
      <c r="H48" s="26" t="s">
        <v>23</v>
      </c>
      <c r="I48" s="26" t="s">
        <v>23</v>
      </c>
      <c r="J48" s="30">
        <v>1</v>
      </c>
      <c r="K48" s="29" t="s">
        <v>32</v>
      </c>
      <c r="L48" s="29" t="s">
        <v>198</v>
      </c>
      <c r="M48" s="29" t="s">
        <v>199</v>
      </c>
      <c r="N48" s="29" t="s">
        <v>200</v>
      </c>
      <c r="O48" s="18" t="s">
        <v>36</v>
      </c>
      <c r="P48" s="35"/>
    </row>
    <row r="49" spans="1:16" ht="15" customHeight="1" x14ac:dyDescent="0.2">
      <c r="A49" s="23" cm="1">
        <f t="array" ref="A49">1+A48</f>
        <v>34</v>
      </c>
      <c r="B49" s="24" t="s">
        <v>201</v>
      </c>
      <c r="C49" s="24" t="s">
        <v>84</v>
      </c>
      <c r="D49" s="33" t="s">
        <v>135</v>
      </c>
      <c r="E49" s="15"/>
      <c r="F49" s="15"/>
      <c r="G49" s="15"/>
      <c r="H49" s="15"/>
      <c r="I49" s="15"/>
      <c r="J49" s="23">
        <v>0</v>
      </c>
      <c r="K49" s="29" t="s">
        <v>32</v>
      </c>
      <c r="L49" s="24" t="s">
        <v>202</v>
      </c>
      <c r="M49" s="24" t="s">
        <v>203</v>
      </c>
      <c r="N49" s="24" t="s">
        <v>204</v>
      </c>
      <c r="O49" s="18" t="s">
        <v>29</v>
      </c>
      <c r="P49" s="22"/>
    </row>
    <row r="50" spans="1:16" ht="15" customHeight="1" x14ac:dyDescent="0.2">
      <c r="A50" s="23" cm="1">
        <f t="array" ref="A50">1+A49</f>
        <v>35</v>
      </c>
      <c r="B50" s="29" t="s">
        <v>205</v>
      </c>
      <c r="C50" s="29" t="s">
        <v>206</v>
      </c>
      <c r="D50" s="33" t="s">
        <v>135</v>
      </c>
      <c r="E50" s="15"/>
      <c r="F50" s="15"/>
      <c r="G50" s="15"/>
      <c r="H50" s="15"/>
      <c r="I50" s="15"/>
      <c r="J50" s="23">
        <v>0</v>
      </c>
      <c r="K50" s="29" t="s">
        <v>32</v>
      </c>
      <c r="L50" s="29" t="s">
        <v>207</v>
      </c>
      <c r="M50" s="29" t="s">
        <v>208</v>
      </c>
      <c r="N50" s="29" t="s">
        <v>209</v>
      </c>
      <c r="O50" s="18" t="s">
        <v>29</v>
      </c>
      <c r="P50" s="22"/>
    </row>
    <row r="51" spans="1:16" ht="15" customHeight="1" x14ac:dyDescent="0.2">
      <c r="A51" s="23" cm="1">
        <f t="array" ref="A51">1+A50</f>
        <v>36</v>
      </c>
      <c r="B51" s="24" t="s">
        <v>88</v>
      </c>
      <c r="C51" s="24" t="s">
        <v>89</v>
      </c>
      <c r="D51" s="33" t="s">
        <v>135</v>
      </c>
      <c r="E51" s="26" t="s">
        <v>23</v>
      </c>
      <c r="F51" s="26" t="s">
        <v>23</v>
      </c>
      <c r="G51" s="26" t="s">
        <v>23</v>
      </c>
      <c r="H51" s="26" t="s">
        <v>23</v>
      </c>
      <c r="I51" s="27" t="s">
        <v>24</v>
      </c>
      <c r="J51" s="23">
        <v>1</v>
      </c>
      <c r="K51" s="29" t="s">
        <v>32</v>
      </c>
      <c r="L51" s="24" t="s">
        <v>90</v>
      </c>
      <c r="M51" s="24" t="s">
        <v>91</v>
      </c>
      <c r="N51" s="24" t="s">
        <v>92</v>
      </c>
      <c r="O51" s="18" t="s">
        <v>29</v>
      </c>
      <c r="P51" s="22"/>
    </row>
    <row r="52" spans="1:16" ht="15" customHeight="1" x14ac:dyDescent="0.2">
      <c r="A52" s="23" cm="1">
        <f t="array" ref="A52">1+A51</f>
        <v>37</v>
      </c>
      <c r="B52" s="24" t="s">
        <v>210</v>
      </c>
      <c r="C52" s="24" t="s">
        <v>104</v>
      </c>
      <c r="D52" s="33" t="s">
        <v>135</v>
      </c>
      <c r="E52" s="27" t="s">
        <v>23</v>
      </c>
      <c r="F52" s="26" t="s">
        <v>23</v>
      </c>
      <c r="G52" s="26" t="s">
        <v>23</v>
      </c>
      <c r="H52" s="26" t="s">
        <v>23</v>
      </c>
      <c r="I52" s="26" t="s">
        <v>23</v>
      </c>
      <c r="J52" s="23">
        <v>0</v>
      </c>
      <c r="K52" s="29" t="s">
        <v>32</v>
      </c>
      <c r="L52" s="24" t="s">
        <v>211</v>
      </c>
      <c r="M52" s="24" t="s">
        <v>212</v>
      </c>
      <c r="N52" s="24" t="s">
        <v>213</v>
      </c>
      <c r="O52" s="18" t="s">
        <v>29</v>
      </c>
      <c r="P52" s="22"/>
    </row>
    <row r="53" spans="1:16" ht="15" customHeight="1" x14ac:dyDescent="0.2">
      <c r="A53" s="23" cm="1">
        <f t="array" ref="A53">1+A52</f>
        <v>38</v>
      </c>
      <c r="B53" s="24" t="s">
        <v>214</v>
      </c>
      <c r="C53" s="24" t="s">
        <v>215</v>
      </c>
      <c r="D53" s="34" t="s">
        <v>135</v>
      </c>
      <c r="E53" s="27" t="s">
        <v>23</v>
      </c>
      <c r="F53" s="26" t="s">
        <v>23</v>
      </c>
      <c r="G53" s="26" t="s">
        <v>23</v>
      </c>
      <c r="H53" s="26" t="s">
        <v>23</v>
      </c>
      <c r="I53" s="26" t="s">
        <v>23</v>
      </c>
      <c r="J53" s="23">
        <v>0</v>
      </c>
      <c r="K53" s="29" t="s">
        <v>32</v>
      </c>
      <c r="L53" s="24" t="s">
        <v>216</v>
      </c>
      <c r="M53" s="24" t="s">
        <v>217</v>
      </c>
      <c r="N53" s="24" t="s">
        <v>218</v>
      </c>
      <c r="O53" s="18" t="s">
        <v>29</v>
      </c>
      <c r="P53" s="22"/>
    </row>
    <row r="54" spans="1:16" ht="15" customHeight="1" x14ac:dyDescent="0.2">
      <c r="A54" s="23" cm="1">
        <f t="array" ref="A54">1+A53</f>
        <v>39</v>
      </c>
      <c r="B54" s="29" t="s">
        <v>108</v>
      </c>
      <c r="C54" s="29" t="s">
        <v>109</v>
      </c>
      <c r="D54" s="34" t="s">
        <v>135</v>
      </c>
      <c r="E54" s="26" t="s">
        <v>23</v>
      </c>
      <c r="F54" s="26" t="s">
        <v>23</v>
      </c>
      <c r="G54" s="26" t="s">
        <v>23</v>
      </c>
      <c r="H54" s="26" t="s">
        <v>23</v>
      </c>
      <c r="I54" s="26" t="s">
        <v>23</v>
      </c>
      <c r="J54" s="23">
        <v>0</v>
      </c>
      <c r="K54" s="29" t="s">
        <v>32</v>
      </c>
      <c r="L54" s="29" t="s">
        <v>219</v>
      </c>
      <c r="M54" s="29" t="s">
        <v>111</v>
      </c>
      <c r="N54" s="29" t="s">
        <v>112</v>
      </c>
      <c r="O54" s="18" t="s">
        <v>29</v>
      </c>
      <c r="P54" s="22"/>
    </row>
    <row r="55" spans="1:16" ht="15" customHeight="1" x14ac:dyDescent="0.2">
      <c r="A55" s="23" cm="1">
        <f t="array" ref="A55">1+A54</f>
        <v>40</v>
      </c>
      <c r="B55" s="24" t="s">
        <v>78</v>
      </c>
      <c r="C55" s="24" t="s">
        <v>79</v>
      </c>
      <c r="D55" s="34" t="s">
        <v>135</v>
      </c>
      <c r="E55" s="26" t="s">
        <v>23</v>
      </c>
      <c r="F55" s="26" t="s">
        <v>23</v>
      </c>
      <c r="G55" s="26" t="s">
        <v>23</v>
      </c>
      <c r="H55" s="26" t="s">
        <v>23</v>
      </c>
      <c r="I55" s="27" t="s">
        <v>24</v>
      </c>
      <c r="J55" s="23">
        <v>1</v>
      </c>
      <c r="K55" s="29" t="s">
        <v>32</v>
      </c>
      <c r="L55" s="24" t="s">
        <v>80</v>
      </c>
      <c r="M55" s="24" t="s">
        <v>81</v>
      </c>
      <c r="N55" s="24" t="s">
        <v>82</v>
      </c>
      <c r="O55" s="18" t="s">
        <v>29</v>
      </c>
      <c r="P55" s="22"/>
    </row>
    <row r="56" spans="1:16" ht="15" customHeight="1" x14ac:dyDescent="0.2">
      <c r="A56" s="23" cm="1">
        <f t="array" ref="A56">1+A55</f>
        <v>41</v>
      </c>
      <c r="B56" s="24" t="s">
        <v>220</v>
      </c>
      <c r="C56" s="24" t="s">
        <v>221</v>
      </c>
      <c r="D56" s="34" t="s">
        <v>135</v>
      </c>
      <c r="E56" s="26" t="s">
        <v>23</v>
      </c>
      <c r="F56" s="26" t="s">
        <v>23</v>
      </c>
      <c r="G56" s="27" t="s">
        <v>23</v>
      </c>
      <c r="H56" s="26" t="s">
        <v>23</v>
      </c>
      <c r="I56" s="26" t="s">
        <v>23</v>
      </c>
      <c r="J56" s="23">
        <v>0</v>
      </c>
      <c r="K56" s="29" t="s">
        <v>32</v>
      </c>
      <c r="L56" s="24" t="s">
        <v>222</v>
      </c>
      <c r="M56" s="24" t="s">
        <v>223</v>
      </c>
      <c r="N56" s="24" t="s">
        <v>224</v>
      </c>
      <c r="O56" s="18" t="s">
        <v>29</v>
      </c>
      <c r="P56" s="22"/>
    </row>
    <row r="57" spans="1:16" ht="15" customHeight="1" x14ac:dyDescent="0.2">
      <c r="A57" s="23" cm="1">
        <f t="array" ref="A57">1+A56</f>
        <v>42</v>
      </c>
      <c r="B57" s="29" t="s">
        <v>57</v>
      </c>
      <c r="C57" s="29" t="s">
        <v>58</v>
      </c>
      <c r="D57" s="36" t="s">
        <v>225</v>
      </c>
      <c r="E57" s="26" t="s">
        <v>23</v>
      </c>
      <c r="F57" s="26" t="s">
        <v>23</v>
      </c>
      <c r="G57" s="26" t="s">
        <v>23</v>
      </c>
      <c r="H57" s="26" t="s">
        <v>23</v>
      </c>
      <c r="I57" s="26" t="s">
        <v>23</v>
      </c>
      <c r="J57" s="23">
        <v>0</v>
      </c>
      <c r="K57" s="29" t="s">
        <v>32</v>
      </c>
      <c r="L57" s="13"/>
      <c r="M57" s="29" t="s">
        <v>60</v>
      </c>
      <c r="N57" s="29" t="s">
        <v>61</v>
      </c>
      <c r="O57" s="18" t="s">
        <v>29</v>
      </c>
      <c r="P57" s="22"/>
    </row>
    <row r="58" spans="1:16" ht="15" customHeight="1" x14ac:dyDescent="0.2">
      <c r="A58" s="23" cm="1">
        <f t="array" ref="A58">1+A57</f>
        <v>43</v>
      </c>
      <c r="B58" s="29" t="s">
        <v>226</v>
      </c>
      <c r="C58" s="29" t="s">
        <v>227</v>
      </c>
      <c r="D58" s="36" t="s">
        <v>225</v>
      </c>
      <c r="E58" s="27" t="s">
        <v>24</v>
      </c>
      <c r="F58" s="26" t="s">
        <v>23</v>
      </c>
      <c r="G58" s="27" t="s">
        <v>24</v>
      </c>
      <c r="H58" s="27" t="s">
        <v>24</v>
      </c>
      <c r="I58" s="27" t="s">
        <v>24</v>
      </c>
      <c r="J58" s="30">
        <v>4</v>
      </c>
      <c r="K58" s="28" t="s">
        <v>25</v>
      </c>
      <c r="L58" s="29" t="s">
        <v>228</v>
      </c>
      <c r="M58" s="29" t="s">
        <v>229</v>
      </c>
      <c r="N58" s="29" t="s">
        <v>230</v>
      </c>
      <c r="O58" s="18" t="s">
        <v>29</v>
      </c>
      <c r="P58" s="22"/>
    </row>
    <row r="59" spans="1:16" ht="15" customHeight="1" x14ac:dyDescent="0.2">
      <c r="A59" s="23" cm="1">
        <f t="array" ref="A59">1+A58</f>
        <v>44</v>
      </c>
      <c r="B59" s="24" t="s">
        <v>231</v>
      </c>
      <c r="C59" s="24" t="s">
        <v>232</v>
      </c>
      <c r="D59" s="36" t="s">
        <v>225</v>
      </c>
      <c r="E59" s="27" t="s">
        <v>24</v>
      </c>
      <c r="F59" s="26" t="s">
        <v>23</v>
      </c>
      <c r="G59" s="27" t="s">
        <v>24</v>
      </c>
      <c r="H59" s="27" t="s">
        <v>24</v>
      </c>
      <c r="I59" s="27" t="s">
        <v>24</v>
      </c>
      <c r="J59" s="23">
        <v>4</v>
      </c>
      <c r="K59" s="28" t="s">
        <v>25</v>
      </c>
      <c r="L59" s="24" t="s">
        <v>233</v>
      </c>
      <c r="M59" s="24" t="s">
        <v>234</v>
      </c>
      <c r="N59" s="24" t="s">
        <v>235</v>
      </c>
      <c r="O59" s="18" t="s">
        <v>29</v>
      </c>
      <c r="P59" s="22"/>
    </row>
    <row r="60" spans="1:16" ht="15" customHeight="1" x14ac:dyDescent="0.2">
      <c r="A60" s="23" cm="1">
        <f t="array" ref="A60">1+A59</f>
        <v>45</v>
      </c>
      <c r="B60" s="29" t="s">
        <v>236</v>
      </c>
      <c r="C60" s="29" t="s">
        <v>237</v>
      </c>
      <c r="D60" s="36" t="s">
        <v>225</v>
      </c>
      <c r="E60" s="27" t="s">
        <v>24</v>
      </c>
      <c r="F60" s="27" t="s">
        <v>24</v>
      </c>
      <c r="G60" s="27" t="s">
        <v>24</v>
      </c>
      <c r="H60" s="27" t="s">
        <v>24</v>
      </c>
      <c r="I60" s="27" t="s">
        <v>24</v>
      </c>
      <c r="J60" s="30">
        <v>5</v>
      </c>
      <c r="K60" s="28" t="s">
        <v>25</v>
      </c>
      <c r="L60" s="29" t="s">
        <v>238</v>
      </c>
      <c r="M60" s="29" t="s">
        <v>239</v>
      </c>
      <c r="N60" s="29" t="s">
        <v>240</v>
      </c>
      <c r="O60" s="18" t="s">
        <v>29</v>
      </c>
      <c r="P60" s="22"/>
    </row>
    <row r="61" spans="1:16" ht="15" customHeight="1" x14ac:dyDescent="0.2">
      <c r="A61" s="23" cm="1">
        <f t="array" ref="A61">1+A60</f>
        <v>46</v>
      </c>
      <c r="B61" s="24" t="s">
        <v>241</v>
      </c>
      <c r="C61" s="24" t="s">
        <v>242</v>
      </c>
      <c r="D61" s="36" t="s">
        <v>225</v>
      </c>
      <c r="E61" s="26" t="s">
        <v>23</v>
      </c>
      <c r="F61" s="26" t="s">
        <v>23</v>
      </c>
      <c r="G61" s="27" t="s">
        <v>24</v>
      </c>
      <c r="H61" s="27" t="s">
        <v>24</v>
      </c>
      <c r="I61" s="26" t="s">
        <v>23</v>
      </c>
      <c r="J61" s="23">
        <v>2</v>
      </c>
      <c r="K61" s="32" t="s">
        <v>69</v>
      </c>
      <c r="L61" s="24" t="s">
        <v>243</v>
      </c>
      <c r="M61" s="24" t="s">
        <v>244</v>
      </c>
      <c r="N61" s="24" t="s">
        <v>245</v>
      </c>
      <c r="O61" s="18" t="s">
        <v>36</v>
      </c>
      <c r="P61" s="22"/>
    </row>
    <row r="62" spans="1:16" ht="15" customHeight="1" x14ac:dyDescent="0.2">
      <c r="A62" s="23" cm="1">
        <f t="array" ref="A62">1+A61</f>
        <v>47</v>
      </c>
      <c r="B62" s="29" t="s">
        <v>246</v>
      </c>
      <c r="C62" s="29" t="s">
        <v>247</v>
      </c>
      <c r="D62" s="36" t="s">
        <v>225</v>
      </c>
      <c r="E62" s="26" t="s">
        <v>23</v>
      </c>
      <c r="F62" s="26" t="s">
        <v>23</v>
      </c>
      <c r="G62" s="26" t="s">
        <v>23</v>
      </c>
      <c r="H62" s="27" t="s">
        <v>24</v>
      </c>
      <c r="I62" s="27" t="s">
        <v>24</v>
      </c>
      <c r="J62" s="30">
        <v>2</v>
      </c>
      <c r="K62" s="32" t="s">
        <v>69</v>
      </c>
      <c r="L62" s="29" t="s">
        <v>248</v>
      </c>
      <c r="M62" s="29" t="s">
        <v>249</v>
      </c>
      <c r="N62" s="29" t="s">
        <v>250</v>
      </c>
      <c r="O62" s="18" t="s">
        <v>29</v>
      </c>
      <c r="P62" s="22"/>
    </row>
    <row r="63" spans="1:16" ht="15" customHeight="1" x14ac:dyDescent="0.2">
      <c r="A63" s="23" cm="1">
        <f t="array" ref="A63">1+A62</f>
        <v>48</v>
      </c>
      <c r="B63" s="29" t="s">
        <v>251</v>
      </c>
      <c r="C63" s="29" t="s">
        <v>252</v>
      </c>
      <c r="D63" s="36" t="s">
        <v>253</v>
      </c>
      <c r="E63" s="26" t="s">
        <v>23</v>
      </c>
      <c r="F63" s="26" t="s">
        <v>23</v>
      </c>
      <c r="G63" s="26" t="s">
        <v>23</v>
      </c>
      <c r="H63" s="26" t="s">
        <v>23</v>
      </c>
      <c r="I63" s="26" t="s">
        <v>23</v>
      </c>
      <c r="J63" s="23">
        <v>0</v>
      </c>
      <c r="K63" s="29" t="s">
        <v>32</v>
      </c>
      <c r="L63" s="29" t="s">
        <v>254</v>
      </c>
      <c r="M63" s="29" t="s">
        <v>255</v>
      </c>
      <c r="N63" s="29" t="s">
        <v>256</v>
      </c>
      <c r="O63" s="18" t="s">
        <v>29</v>
      </c>
      <c r="P63" s="22"/>
    </row>
    <row r="64" spans="1:16" ht="15" customHeight="1" x14ac:dyDescent="0.2">
      <c r="A64" s="23" cm="1">
        <f t="array" ref="A64">1+A63</f>
        <v>49</v>
      </c>
      <c r="B64" s="29" t="s">
        <v>257</v>
      </c>
      <c r="C64" s="29" t="s">
        <v>258</v>
      </c>
      <c r="D64" s="36" t="s">
        <v>225</v>
      </c>
      <c r="E64" s="15"/>
      <c r="F64" s="15"/>
      <c r="G64" s="15"/>
      <c r="H64" s="15"/>
      <c r="I64" s="15"/>
      <c r="J64" s="23">
        <v>0</v>
      </c>
      <c r="K64" s="29" t="s">
        <v>32</v>
      </c>
      <c r="L64" s="29" t="s">
        <v>259</v>
      </c>
      <c r="M64" s="29" t="s">
        <v>260</v>
      </c>
      <c r="N64" s="29" t="s">
        <v>261</v>
      </c>
      <c r="O64" s="18" t="s">
        <v>29</v>
      </c>
      <c r="P64" s="22"/>
    </row>
    <row r="65" spans="1:16" ht="15" customHeight="1" x14ac:dyDescent="0.2">
      <c r="A65" s="23" cm="1">
        <f t="array" ref="A65">1+A64</f>
        <v>50</v>
      </c>
      <c r="B65" s="24" t="s">
        <v>262</v>
      </c>
      <c r="C65" s="24" t="s">
        <v>38</v>
      </c>
      <c r="D65" s="36" t="s">
        <v>253</v>
      </c>
      <c r="E65" s="15"/>
      <c r="F65" s="15"/>
      <c r="G65" s="15"/>
      <c r="H65" s="15"/>
      <c r="I65" s="15"/>
      <c r="J65" s="23">
        <v>0</v>
      </c>
      <c r="K65" s="29" t="s">
        <v>32</v>
      </c>
      <c r="L65" s="24" t="s">
        <v>263</v>
      </c>
      <c r="M65" s="24" t="s">
        <v>27</v>
      </c>
      <c r="N65" s="24" t="s">
        <v>177</v>
      </c>
      <c r="O65" s="18" t="s">
        <v>29</v>
      </c>
      <c r="P65" s="22"/>
    </row>
    <row r="66" spans="1:16" ht="15" customHeight="1" x14ac:dyDescent="0.2">
      <c r="A66" s="23" cm="1">
        <f t="array" ref="A66">1+A65</f>
        <v>51</v>
      </c>
      <c r="B66" s="29" t="s">
        <v>264</v>
      </c>
      <c r="C66" s="29" t="s">
        <v>265</v>
      </c>
      <c r="D66" s="36" t="s">
        <v>225</v>
      </c>
      <c r="E66" s="26" t="s">
        <v>23</v>
      </c>
      <c r="F66" s="26" t="s">
        <v>23</v>
      </c>
      <c r="G66" s="26" t="s">
        <v>23</v>
      </c>
      <c r="H66" s="26" t="s">
        <v>23</v>
      </c>
      <c r="I66" s="27" t="s">
        <v>24</v>
      </c>
      <c r="J66" s="30">
        <v>1</v>
      </c>
      <c r="K66" s="29" t="s">
        <v>32</v>
      </c>
      <c r="L66" s="29" t="s">
        <v>266</v>
      </c>
      <c r="M66" s="29" t="s">
        <v>267</v>
      </c>
      <c r="N66" s="29" t="s">
        <v>268</v>
      </c>
      <c r="O66" s="18" t="s">
        <v>36</v>
      </c>
      <c r="P66" s="22"/>
    </row>
    <row r="67" spans="1:16" ht="15" customHeight="1" x14ac:dyDescent="0.2">
      <c r="A67" s="23" cm="1">
        <f t="array" ref="A67">1+A66</f>
        <v>52</v>
      </c>
      <c r="B67" s="24" t="s">
        <v>88</v>
      </c>
      <c r="C67" s="24" t="s">
        <v>89</v>
      </c>
      <c r="D67" s="36" t="s">
        <v>225</v>
      </c>
      <c r="E67" s="26" t="s">
        <v>23</v>
      </c>
      <c r="F67" s="26" t="s">
        <v>23</v>
      </c>
      <c r="G67" s="26" t="s">
        <v>23</v>
      </c>
      <c r="H67" s="26" t="s">
        <v>23</v>
      </c>
      <c r="I67" s="27" t="s">
        <v>24</v>
      </c>
      <c r="J67" s="23">
        <v>1</v>
      </c>
      <c r="K67" s="29" t="s">
        <v>32</v>
      </c>
      <c r="L67" s="24" t="s">
        <v>90</v>
      </c>
      <c r="M67" s="24" t="s">
        <v>91</v>
      </c>
      <c r="N67" s="24" t="s">
        <v>92</v>
      </c>
      <c r="O67" s="18" t="s">
        <v>29</v>
      </c>
      <c r="P67" s="22"/>
    </row>
    <row r="68" spans="1:16" ht="15" customHeight="1" x14ac:dyDescent="0.2">
      <c r="A68" s="23" cm="1">
        <f t="array" ref="A68">1+A67</f>
        <v>53</v>
      </c>
      <c r="B68" s="24" t="s">
        <v>269</v>
      </c>
      <c r="C68" s="24" t="s">
        <v>84</v>
      </c>
      <c r="D68" s="36" t="s">
        <v>225</v>
      </c>
      <c r="E68" s="26" t="s">
        <v>23</v>
      </c>
      <c r="F68" s="26" t="s">
        <v>23</v>
      </c>
      <c r="G68" s="26" t="s">
        <v>23</v>
      </c>
      <c r="H68" s="26" t="s">
        <v>23</v>
      </c>
      <c r="I68" s="27" t="s">
        <v>24</v>
      </c>
      <c r="J68" s="23">
        <v>1</v>
      </c>
      <c r="K68" s="29" t="s">
        <v>32</v>
      </c>
      <c r="L68" s="24" t="s">
        <v>270</v>
      </c>
      <c r="M68" s="24" t="s">
        <v>271</v>
      </c>
      <c r="N68" s="24" t="s">
        <v>272</v>
      </c>
      <c r="O68" s="18" t="s">
        <v>29</v>
      </c>
      <c r="P68" s="22"/>
    </row>
    <row r="69" spans="1:16" ht="15" customHeight="1" x14ac:dyDescent="0.2">
      <c r="A69" s="23" cm="1">
        <f t="array" ref="A69">1+A68</f>
        <v>54</v>
      </c>
      <c r="B69" s="29" t="s">
        <v>108</v>
      </c>
      <c r="C69" s="29" t="s">
        <v>109</v>
      </c>
      <c r="D69" s="36" t="s">
        <v>225</v>
      </c>
      <c r="E69" s="26" t="s">
        <v>23</v>
      </c>
      <c r="F69" s="26" t="s">
        <v>23</v>
      </c>
      <c r="G69" s="26" t="s">
        <v>23</v>
      </c>
      <c r="H69" s="26" t="s">
        <v>23</v>
      </c>
      <c r="I69" s="26" t="s">
        <v>23</v>
      </c>
      <c r="J69" s="23">
        <v>0</v>
      </c>
      <c r="K69" s="29" t="s">
        <v>32</v>
      </c>
      <c r="L69" s="29" t="s">
        <v>219</v>
      </c>
      <c r="M69" s="29" t="s">
        <v>111</v>
      </c>
      <c r="N69" s="29" t="s">
        <v>112</v>
      </c>
      <c r="O69" s="18" t="s">
        <v>29</v>
      </c>
      <c r="P69" s="22"/>
    </row>
    <row r="70" spans="1:16" ht="15" customHeight="1" x14ac:dyDescent="0.2">
      <c r="A70" s="23" cm="1">
        <f t="array" ref="A70">1+A69</f>
        <v>55</v>
      </c>
      <c r="B70" s="29" t="s">
        <v>273</v>
      </c>
      <c r="C70" s="29" t="s">
        <v>166</v>
      </c>
      <c r="D70" s="36" t="s">
        <v>225</v>
      </c>
      <c r="E70" s="26" t="s">
        <v>23</v>
      </c>
      <c r="F70" s="26" t="s">
        <v>23</v>
      </c>
      <c r="G70" s="27" t="s">
        <v>24</v>
      </c>
      <c r="H70" s="26" t="s">
        <v>23</v>
      </c>
      <c r="I70" s="26" t="s">
        <v>23</v>
      </c>
      <c r="J70" s="30">
        <v>1</v>
      </c>
      <c r="K70" s="29" t="s">
        <v>32</v>
      </c>
      <c r="L70" s="29" t="s">
        <v>274</v>
      </c>
      <c r="M70" s="29" t="s">
        <v>275</v>
      </c>
      <c r="N70" s="29" t="s">
        <v>276</v>
      </c>
      <c r="O70" s="18" t="s">
        <v>29</v>
      </c>
      <c r="P70" s="22"/>
    </row>
    <row r="71" spans="1:16" ht="15" customHeight="1" x14ac:dyDescent="0.2">
      <c r="A71" s="23" cm="1">
        <f t="array" ref="A71">1+A70</f>
        <v>56</v>
      </c>
      <c r="B71" s="24" t="s">
        <v>277</v>
      </c>
      <c r="C71" s="24" t="s">
        <v>278</v>
      </c>
      <c r="D71" s="36" t="s">
        <v>225</v>
      </c>
      <c r="E71" s="26" t="s">
        <v>23</v>
      </c>
      <c r="F71" s="26" t="s">
        <v>23</v>
      </c>
      <c r="G71" s="27" t="s">
        <v>24</v>
      </c>
      <c r="H71" s="26" t="s">
        <v>23</v>
      </c>
      <c r="I71" s="26" t="s">
        <v>23</v>
      </c>
      <c r="J71" s="23">
        <v>1</v>
      </c>
      <c r="K71" s="29" t="s">
        <v>32</v>
      </c>
      <c r="L71" s="24" t="s">
        <v>279</v>
      </c>
      <c r="M71" s="24" t="s">
        <v>280</v>
      </c>
      <c r="N71" s="24" t="s">
        <v>281</v>
      </c>
      <c r="O71" s="18" t="s">
        <v>36</v>
      </c>
      <c r="P71" s="22"/>
    </row>
    <row r="72" spans="1:16" ht="15" customHeight="1" x14ac:dyDescent="0.2">
      <c r="A72" s="23" cm="1">
        <f t="array" ref="A72">1+A71</f>
        <v>57</v>
      </c>
      <c r="B72" s="29" t="s">
        <v>83</v>
      </c>
      <c r="C72" s="29" t="s">
        <v>84</v>
      </c>
      <c r="D72" s="36" t="s">
        <v>225</v>
      </c>
      <c r="E72" s="26" t="s">
        <v>23</v>
      </c>
      <c r="F72" s="26" t="s">
        <v>23</v>
      </c>
      <c r="G72" s="27" t="s">
        <v>24</v>
      </c>
      <c r="H72" s="27" t="s">
        <v>24</v>
      </c>
      <c r="I72" s="27" t="s">
        <v>24</v>
      </c>
      <c r="J72" s="30">
        <v>3</v>
      </c>
      <c r="K72" s="28" t="s">
        <v>25</v>
      </c>
      <c r="L72" s="29" t="s">
        <v>282</v>
      </c>
      <c r="M72" s="29" t="s">
        <v>86</v>
      </c>
      <c r="N72" s="29" t="s">
        <v>87</v>
      </c>
      <c r="O72" s="18" t="s">
        <v>29</v>
      </c>
      <c r="P72" s="22"/>
    </row>
    <row r="73" spans="1:16" ht="15" customHeight="1" x14ac:dyDescent="0.2">
      <c r="A73" s="23" cm="1">
        <f t="array" ref="A73">1+A72</f>
        <v>58</v>
      </c>
      <c r="B73" s="29" t="s">
        <v>103</v>
      </c>
      <c r="C73" s="29" t="s">
        <v>104</v>
      </c>
      <c r="D73" s="36" t="s">
        <v>225</v>
      </c>
      <c r="E73" s="26" t="s">
        <v>23</v>
      </c>
      <c r="F73" s="26" t="s">
        <v>23</v>
      </c>
      <c r="G73" s="27" t="s">
        <v>24</v>
      </c>
      <c r="H73" s="27" t="s">
        <v>24</v>
      </c>
      <c r="I73" s="27" t="s">
        <v>24</v>
      </c>
      <c r="J73" s="30">
        <v>3</v>
      </c>
      <c r="K73" s="28" t="s">
        <v>25</v>
      </c>
      <c r="L73" s="29" t="s">
        <v>105</v>
      </c>
      <c r="M73" s="29" t="s">
        <v>106</v>
      </c>
      <c r="N73" s="29" t="s">
        <v>107</v>
      </c>
      <c r="O73" s="18" t="s">
        <v>29</v>
      </c>
      <c r="P73" s="22"/>
    </row>
    <row r="74" spans="1:16" ht="15" customHeight="1" x14ac:dyDescent="0.2">
      <c r="A74" s="23" cm="1">
        <f t="array" ref="A74">1+A73</f>
        <v>59</v>
      </c>
      <c r="B74" s="24" t="s">
        <v>129</v>
      </c>
      <c r="C74" s="24" t="s">
        <v>104</v>
      </c>
      <c r="D74" s="36" t="s">
        <v>225</v>
      </c>
      <c r="E74" s="27" t="s">
        <v>24</v>
      </c>
      <c r="F74" s="27" t="s">
        <v>24</v>
      </c>
      <c r="G74" s="26" t="s">
        <v>23</v>
      </c>
      <c r="H74" s="26" t="s">
        <v>23</v>
      </c>
      <c r="I74" s="27" t="s">
        <v>24</v>
      </c>
      <c r="J74" s="23">
        <v>3</v>
      </c>
      <c r="K74" s="28" t="s">
        <v>25</v>
      </c>
      <c r="L74" s="24" t="s">
        <v>130</v>
      </c>
      <c r="M74" s="24" t="s">
        <v>131</v>
      </c>
      <c r="N74" s="24" t="s">
        <v>132</v>
      </c>
      <c r="O74" s="18" t="s">
        <v>29</v>
      </c>
      <c r="P74" s="22"/>
    </row>
    <row r="75" spans="1:16" ht="15" customHeight="1" x14ac:dyDescent="0.2">
      <c r="A75" s="23" cm="1">
        <f t="array" ref="A75">1+A74</f>
        <v>60</v>
      </c>
      <c r="B75" s="24" t="s">
        <v>98</v>
      </c>
      <c r="C75" s="24" t="s">
        <v>99</v>
      </c>
      <c r="D75" s="36" t="s">
        <v>225</v>
      </c>
      <c r="E75" s="26" t="s">
        <v>23</v>
      </c>
      <c r="F75" s="26" t="s">
        <v>23</v>
      </c>
      <c r="G75" s="27" t="s">
        <v>24</v>
      </c>
      <c r="H75" s="27" t="s">
        <v>24</v>
      </c>
      <c r="I75" s="27" t="s">
        <v>24</v>
      </c>
      <c r="J75" s="23">
        <v>3</v>
      </c>
      <c r="K75" s="28" t="s">
        <v>25</v>
      </c>
      <c r="L75" s="24" t="s">
        <v>100</v>
      </c>
      <c r="M75" s="24" t="s">
        <v>101</v>
      </c>
      <c r="N75" s="24" t="s">
        <v>102</v>
      </c>
      <c r="O75" s="18" t="s">
        <v>29</v>
      </c>
      <c r="P75" s="22"/>
    </row>
    <row r="76" spans="1:16" ht="15" customHeight="1" x14ac:dyDescent="0.2">
      <c r="A76" s="23" cm="1">
        <f t="array" ref="A76">1+A75</f>
        <v>61</v>
      </c>
      <c r="B76" s="29" t="s">
        <v>283</v>
      </c>
      <c r="C76" s="29" t="s">
        <v>284</v>
      </c>
      <c r="D76" s="36" t="s">
        <v>225</v>
      </c>
      <c r="E76" s="27" t="s">
        <v>24</v>
      </c>
      <c r="F76" s="27" t="s">
        <v>24</v>
      </c>
      <c r="G76" s="26" t="s">
        <v>23</v>
      </c>
      <c r="H76" s="26" t="s">
        <v>23</v>
      </c>
      <c r="I76" s="26" t="s">
        <v>23</v>
      </c>
      <c r="J76" s="30">
        <v>2</v>
      </c>
      <c r="K76" s="32" t="s">
        <v>69</v>
      </c>
      <c r="L76" s="29" t="s">
        <v>285</v>
      </c>
      <c r="M76" s="29" t="s">
        <v>286</v>
      </c>
      <c r="N76" s="29" t="s">
        <v>287</v>
      </c>
      <c r="O76" s="18" t="s">
        <v>36</v>
      </c>
      <c r="P76" s="22"/>
    </row>
    <row r="77" spans="1:16" ht="15" customHeight="1" x14ac:dyDescent="0.2">
      <c r="A77" s="23" cm="1">
        <f t="array" ref="A77">1+A76</f>
        <v>62</v>
      </c>
      <c r="B77" s="29" t="s">
        <v>288</v>
      </c>
      <c r="C77" s="29" t="s">
        <v>63</v>
      </c>
      <c r="D77" s="36" t="s">
        <v>225</v>
      </c>
      <c r="E77" s="26" t="s">
        <v>23</v>
      </c>
      <c r="F77" s="26" t="s">
        <v>23</v>
      </c>
      <c r="G77" s="27" t="s">
        <v>24</v>
      </c>
      <c r="H77" s="26" t="s">
        <v>23</v>
      </c>
      <c r="I77" s="26" t="s">
        <v>23</v>
      </c>
      <c r="J77" s="30">
        <v>1</v>
      </c>
      <c r="K77" s="29" t="s">
        <v>32</v>
      </c>
      <c r="L77" s="29" t="s">
        <v>289</v>
      </c>
      <c r="M77" s="29" t="s">
        <v>290</v>
      </c>
      <c r="N77" s="29" t="s">
        <v>291</v>
      </c>
      <c r="O77" s="18" t="s">
        <v>36</v>
      </c>
      <c r="P77" s="22"/>
    </row>
    <row r="78" spans="1:16" ht="15" customHeight="1" x14ac:dyDescent="0.2">
      <c r="A78" s="23" cm="1">
        <f t="array" ref="A78">1+A77</f>
        <v>63</v>
      </c>
      <c r="B78" s="24" t="s">
        <v>292</v>
      </c>
      <c r="C78" s="24" t="s">
        <v>293</v>
      </c>
      <c r="D78" s="37" t="s">
        <v>294</v>
      </c>
      <c r="E78" s="26" t="s">
        <v>23</v>
      </c>
      <c r="F78" s="26" t="s">
        <v>23</v>
      </c>
      <c r="G78" s="27" t="s">
        <v>24</v>
      </c>
      <c r="H78" s="27" t="s">
        <v>24</v>
      </c>
      <c r="I78" s="27" t="s">
        <v>24</v>
      </c>
      <c r="J78" s="23">
        <v>3</v>
      </c>
      <c r="K78" s="28" t="s">
        <v>25</v>
      </c>
      <c r="L78" s="24" t="s">
        <v>95</v>
      </c>
      <c r="M78" s="24" t="s">
        <v>96</v>
      </c>
      <c r="N78" s="24" t="s">
        <v>97</v>
      </c>
      <c r="O78" s="18" t="s">
        <v>29</v>
      </c>
      <c r="P78" s="22"/>
    </row>
    <row r="79" spans="1:16" ht="15" customHeight="1" x14ac:dyDescent="0.2">
      <c r="A79" s="23" cm="1">
        <f t="array" ref="A79">1+A78</f>
        <v>64</v>
      </c>
      <c r="B79" s="29" t="s">
        <v>295</v>
      </c>
      <c r="C79" s="29" t="s">
        <v>296</v>
      </c>
      <c r="D79" s="37" t="s">
        <v>294</v>
      </c>
      <c r="E79" s="26" t="s">
        <v>23</v>
      </c>
      <c r="F79" s="26" t="s">
        <v>23</v>
      </c>
      <c r="G79" s="27" t="s">
        <v>24</v>
      </c>
      <c r="H79" s="27" t="s">
        <v>24</v>
      </c>
      <c r="I79" s="27" t="s">
        <v>24</v>
      </c>
      <c r="J79" s="30">
        <v>3</v>
      </c>
      <c r="K79" s="28" t="s">
        <v>25</v>
      </c>
      <c r="L79" s="29" t="s">
        <v>297</v>
      </c>
      <c r="M79" s="29" t="s">
        <v>298</v>
      </c>
      <c r="N79" s="29" t="s">
        <v>299</v>
      </c>
      <c r="O79" s="18" t="s">
        <v>29</v>
      </c>
      <c r="P79" s="22"/>
    </row>
    <row r="80" spans="1:16" ht="15" customHeight="1" x14ac:dyDescent="0.2">
      <c r="A80" s="23" cm="1">
        <f t="array" ref="A80">1+A79</f>
        <v>65</v>
      </c>
      <c r="B80" s="24" t="s">
        <v>300</v>
      </c>
      <c r="C80" s="24" t="s">
        <v>301</v>
      </c>
      <c r="D80" s="37" t="s">
        <v>294</v>
      </c>
      <c r="E80" s="26" t="s">
        <v>23</v>
      </c>
      <c r="F80" s="26" t="s">
        <v>23</v>
      </c>
      <c r="G80" s="27" t="s">
        <v>24</v>
      </c>
      <c r="H80" s="27" t="s">
        <v>24</v>
      </c>
      <c r="I80" s="27" t="s">
        <v>24</v>
      </c>
      <c r="J80" s="23">
        <v>3</v>
      </c>
      <c r="K80" s="28" t="s">
        <v>25</v>
      </c>
      <c r="L80" s="24" t="s">
        <v>302</v>
      </c>
      <c r="M80" s="24" t="s">
        <v>303</v>
      </c>
      <c r="N80" s="24" t="s">
        <v>304</v>
      </c>
      <c r="O80" s="18" t="s">
        <v>29</v>
      </c>
      <c r="P80" s="22"/>
    </row>
    <row r="81" spans="1:16" ht="15" customHeight="1" x14ac:dyDescent="0.2">
      <c r="A81" s="23" cm="1">
        <f t="array" ref="A81">1+A80</f>
        <v>66</v>
      </c>
      <c r="B81" s="29" t="s">
        <v>37</v>
      </c>
      <c r="C81" s="29" t="s">
        <v>38</v>
      </c>
      <c r="D81" s="37" t="s">
        <v>294</v>
      </c>
      <c r="E81" s="27" t="s">
        <v>24</v>
      </c>
      <c r="F81" s="27" t="s">
        <v>24</v>
      </c>
      <c r="G81" s="27" t="s">
        <v>24</v>
      </c>
      <c r="H81" s="27" t="s">
        <v>24</v>
      </c>
      <c r="I81" s="27" t="s">
        <v>24</v>
      </c>
      <c r="J81" s="30">
        <v>5</v>
      </c>
      <c r="K81" s="28" t="s">
        <v>25</v>
      </c>
      <c r="L81" s="29" t="s">
        <v>39</v>
      </c>
      <c r="M81" s="29" t="s">
        <v>40</v>
      </c>
      <c r="N81" s="29" t="s">
        <v>41</v>
      </c>
      <c r="O81" s="18" t="s">
        <v>29</v>
      </c>
      <c r="P81" s="22"/>
    </row>
    <row r="82" spans="1:16" ht="13.5" customHeight="1" x14ac:dyDescent="0.2">
      <c r="A82" s="23" cm="1">
        <f t="array" ref="A82">1+A81</f>
        <v>67</v>
      </c>
      <c r="B82" s="29" t="s">
        <v>108</v>
      </c>
      <c r="C82" s="29" t="s">
        <v>109</v>
      </c>
      <c r="D82" s="37" t="s">
        <v>294</v>
      </c>
      <c r="E82" s="26" t="s">
        <v>23</v>
      </c>
      <c r="F82" s="26" t="s">
        <v>23</v>
      </c>
      <c r="G82" s="26" t="s">
        <v>23</v>
      </c>
      <c r="H82" s="26" t="s">
        <v>23</v>
      </c>
      <c r="I82" s="26" t="s">
        <v>23</v>
      </c>
      <c r="J82" s="23">
        <v>0</v>
      </c>
      <c r="K82" s="29" t="s">
        <v>32</v>
      </c>
      <c r="L82" s="29" t="s">
        <v>305</v>
      </c>
      <c r="M82" s="29" t="s">
        <v>111</v>
      </c>
      <c r="N82" s="29" t="s">
        <v>112</v>
      </c>
      <c r="O82" s="18" t="s">
        <v>29</v>
      </c>
      <c r="P82" s="22"/>
    </row>
    <row r="83" spans="1:16" ht="15" customHeight="1" x14ac:dyDescent="0.2">
      <c r="A83" s="23" cm="1">
        <f t="array" ref="A83">1+A82</f>
        <v>68</v>
      </c>
      <c r="B83" s="24" t="s">
        <v>306</v>
      </c>
      <c r="C83" s="24" t="s">
        <v>307</v>
      </c>
      <c r="D83" s="37" t="s">
        <v>294</v>
      </c>
      <c r="E83" s="26" t="s">
        <v>23</v>
      </c>
      <c r="F83" s="26" t="s">
        <v>23</v>
      </c>
      <c r="G83" s="27" t="s">
        <v>24</v>
      </c>
      <c r="H83" s="27" t="s">
        <v>24</v>
      </c>
      <c r="I83" s="26" t="s">
        <v>23</v>
      </c>
      <c r="J83" s="23">
        <v>2</v>
      </c>
      <c r="K83" s="32" t="s">
        <v>69</v>
      </c>
      <c r="L83" s="24" t="s">
        <v>308</v>
      </c>
      <c r="M83" s="24" t="s">
        <v>309</v>
      </c>
      <c r="N83" s="24" t="s">
        <v>310</v>
      </c>
      <c r="O83" s="18" t="s">
        <v>36</v>
      </c>
      <c r="P83" s="22"/>
    </row>
    <row r="84" spans="1:16" ht="15" customHeight="1" x14ac:dyDescent="0.2">
      <c r="A84" s="23" cm="1">
        <f t="array" ref="A84">1+A83</f>
        <v>69</v>
      </c>
      <c r="B84" s="29" t="s">
        <v>311</v>
      </c>
      <c r="C84" s="29" t="s">
        <v>312</v>
      </c>
      <c r="D84" s="37" t="s">
        <v>294</v>
      </c>
      <c r="E84" s="26" t="s">
        <v>23</v>
      </c>
      <c r="F84" s="26" t="s">
        <v>23</v>
      </c>
      <c r="G84" s="27" t="s">
        <v>24</v>
      </c>
      <c r="H84" s="26" t="s">
        <v>23</v>
      </c>
      <c r="I84" s="27" t="s">
        <v>24</v>
      </c>
      <c r="J84" s="30">
        <v>2</v>
      </c>
      <c r="K84" s="32" t="s">
        <v>69</v>
      </c>
      <c r="L84" s="29" t="s">
        <v>313</v>
      </c>
      <c r="M84" s="29" t="s">
        <v>314</v>
      </c>
      <c r="N84" s="29" t="s">
        <v>315</v>
      </c>
      <c r="O84" s="18" t="s">
        <v>29</v>
      </c>
      <c r="P84" s="22"/>
    </row>
    <row r="85" spans="1:16" ht="15" customHeight="1" x14ac:dyDescent="0.2">
      <c r="A85" s="23" cm="1">
        <f t="array" ref="A85">1+A84</f>
        <v>70</v>
      </c>
      <c r="B85" s="24" t="s">
        <v>316</v>
      </c>
      <c r="C85" s="24" t="s">
        <v>114</v>
      </c>
      <c r="D85" s="37" t="s">
        <v>294</v>
      </c>
      <c r="E85" s="26" t="s">
        <v>23</v>
      </c>
      <c r="F85" s="26" t="s">
        <v>23</v>
      </c>
      <c r="G85" s="26" t="s">
        <v>23</v>
      </c>
      <c r="H85" s="26" t="s">
        <v>23</v>
      </c>
      <c r="I85" s="27" t="s">
        <v>24</v>
      </c>
      <c r="J85" s="23">
        <v>1</v>
      </c>
      <c r="K85" s="29" t="s">
        <v>32</v>
      </c>
      <c r="L85" s="24" t="s">
        <v>317</v>
      </c>
      <c r="M85" s="24" t="s">
        <v>318</v>
      </c>
      <c r="N85" s="24" t="s">
        <v>319</v>
      </c>
      <c r="O85" s="18" t="s">
        <v>29</v>
      </c>
      <c r="P85" s="22"/>
    </row>
    <row r="86" spans="1:16" ht="15" customHeight="1" x14ac:dyDescent="0.2">
      <c r="A86" s="23" cm="1">
        <f t="array" ref="A86">1+A85</f>
        <v>71</v>
      </c>
      <c r="B86" s="29" t="s">
        <v>320</v>
      </c>
      <c r="C86" s="29" t="s">
        <v>242</v>
      </c>
      <c r="D86" s="37" t="s">
        <v>294</v>
      </c>
      <c r="E86" s="26" t="s">
        <v>23</v>
      </c>
      <c r="F86" s="26" t="s">
        <v>23</v>
      </c>
      <c r="G86" s="26" t="s">
        <v>23</v>
      </c>
      <c r="H86" s="26" t="s">
        <v>23</v>
      </c>
      <c r="I86" s="27" t="s">
        <v>23</v>
      </c>
      <c r="J86" s="30">
        <v>0</v>
      </c>
      <c r="K86" s="29" t="s">
        <v>32</v>
      </c>
      <c r="L86" s="29" t="s">
        <v>321</v>
      </c>
      <c r="M86" s="29" t="s">
        <v>322</v>
      </c>
      <c r="N86" s="29" t="s">
        <v>323</v>
      </c>
      <c r="O86" s="18" t="s">
        <v>29</v>
      </c>
      <c r="P86" s="22"/>
    </row>
    <row r="87" spans="1:16" ht="15" customHeight="1" x14ac:dyDescent="0.2">
      <c r="A87" s="23" cm="1">
        <f t="array" ref="A87">1+A86</f>
        <v>72</v>
      </c>
      <c r="B87" s="29" t="s">
        <v>324</v>
      </c>
      <c r="C87" s="29" t="s">
        <v>325</v>
      </c>
      <c r="D87" s="37" t="s">
        <v>294</v>
      </c>
      <c r="E87" s="26" t="s">
        <v>23</v>
      </c>
      <c r="F87" s="26" t="s">
        <v>23</v>
      </c>
      <c r="G87" s="26" t="s">
        <v>23</v>
      </c>
      <c r="H87" s="26" t="s">
        <v>23</v>
      </c>
      <c r="I87" s="26" t="s">
        <v>23</v>
      </c>
      <c r="J87" s="23">
        <v>0</v>
      </c>
      <c r="K87" s="29" t="s">
        <v>32</v>
      </c>
      <c r="L87" s="29" t="s">
        <v>326</v>
      </c>
      <c r="M87" s="29" t="s">
        <v>327</v>
      </c>
      <c r="N87" s="29" t="s">
        <v>328</v>
      </c>
      <c r="O87" s="18" t="s">
        <v>29</v>
      </c>
      <c r="P87" s="22"/>
    </row>
    <row r="88" spans="1:16" ht="15" customHeight="1" x14ac:dyDescent="0.2">
      <c r="A88" s="23" cm="1">
        <f t="array" ref="A88">1+A87</f>
        <v>73</v>
      </c>
      <c r="B88" s="24" t="s">
        <v>329</v>
      </c>
      <c r="C88" s="24" t="s">
        <v>104</v>
      </c>
      <c r="D88" s="37" t="s">
        <v>294</v>
      </c>
      <c r="E88" s="15"/>
      <c r="F88" s="15"/>
      <c r="G88" s="15"/>
      <c r="H88" s="15"/>
      <c r="I88" s="15"/>
      <c r="J88" s="23">
        <v>0</v>
      </c>
      <c r="K88" s="29" t="s">
        <v>32</v>
      </c>
      <c r="L88" s="21"/>
      <c r="M88" s="24" t="s">
        <v>330</v>
      </c>
      <c r="N88" s="24" t="s">
        <v>331</v>
      </c>
      <c r="O88" s="18" t="s">
        <v>29</v>
      </c>
      <c r="P88" s="22"/>
    </row>
    <row r="89" spans="1:16" ht="13.5" customHeight="1" x14ac:dyDescent="0.2">
      <c r="A89" s="23" cm="1">
        <f t="array" ref="A89">1+A88</f>
        <v>74</v>
      </c>
      <c r="B89" s="29" t="s">
        <v>332</v>
      </c>
      <c r="C89" s="29" t="s">
        <v>333</v>
      </c>
      <c r="D89" s="37" t="s">
        <v>294</v>
      </c>
      <c r="E89" s="27" t="s">
        <v>24</v>
      </c>
      <c r="F89" s="27" t="s">
        <v>24</v>
      </c>
      <c r="G89" s="26" t="s">
        <v>23</v>
      </c>
      <c r="H89" s="26" t="s">
        <v>23</v>
      </c>
      <c r="I89" s="26" t="s">
        <v>23</v>
      </c>
      <c r="J89" s="30">
        <v>2</v>
      </c>
      <c r="K89" s="32" t="s">
        <v>69</v>
      </c>
      <c r="L89" s="29" t="s">
        <v>334</v>
      </c>
      <c r="M89" s="29" t="s">
        <v>335</v>
      </c>
      <c r="N89" s="29" t="s">
        <v>336</v>
      </c>
      <c r="O89" s="18" t="s">
        <v>29</v>
      </c>
      <c r="P89" s="22"/>
    </row>
    <row r="90" spans="1:16" ht="13.5" customHeight="1" x14ac:dyDescent="0.2">
      <c r="A90" s="23" cm="1">
        <f t="array" ref="A90">1+A89</f>
        <v>75</v>
      </c>
      <c r="B90" s="24" t="s">
        <v>337</v>
      </c>
      <c r="C90" s="24" t="s">
        <v>104</v>
      </c>
      <c r="D90" s="37" t="s">
        <v>294</v>
      </c>
      <c r="E90" s="26" t="s">
        <v>23</v>
      </c>
      <c r="F90" s="27" t="s">
        <v>24</v>
      </c>
      <c r="G90" s="26" t="s">
        <v>23</v>
      </c>
      <c r="H90" s="26" t="s">
        <v>23</v>
      </c>
      <c r="I90" s="26" t="s">
        <v>23</v>
      </c>
      <c r="J90" s="23">
        <v>1</v>
      </c>
      <c r="K90" s="29" t="s">
        <v>32</v>
      </c>
      <c r="L90" s="24" t="s">
        <v>338</v>
      </c>
      <c r="M90" s="24" t="s">
        <v>339</v>
      </c>
      <c r="N90" s="24" t="s">
        <v>340</v>
      </c>
      <c r="O90" s="18" t="s">
        <v>36</v>
      </c>
      <c r="P90" s="22"/>
    </row>
    <row r="91" spans="1:16" ht="13.5" customHeight="1" x14ac:dyDescent="0.2">
      <c r="A91" s="23" cm="1">
        <f t="array" ref="A91">1+A90</f>
        <v>76</v>
      </c>
      <c r="B91" s="29" t="s">
        <v>341</v>
      </c>
      <c r="C91" s="29" t="s">
        <v>89</v>
      </c>
      <c r="D91" s="37" t="s">
        <v>294</v>
      </c>
      <c r="E91" s="26" t="s">
        <v>23</v>
      </c>
      <c r="F91" s="27" t="s">
        <v>24</v>
      </c>
      <c r="G91" s="26" t="s">
        <v>23</v>
      </c>
      <c r="H91" s="26" t="s">
        <v>23</v>
      </c>
      <c r="I91" s="26" t="s">
        <v>23</v>
      </c>
      <c r="J91" s="30">
        <v>1</v>
      </c>
      <c r="K91" s="29" t="s">
        <v>32</v>
      </c>
      <c r="L91" s="29" t="s">
        <v>342</v>
      </c>
      <c r="M91" s="29" t="s">
        <v>343</v>
      </c>
      <c r="N91" s="29" t="s">
        <v>344</v>
      </c>
      <c r="O91" s="18" t="s">
        <v>29</v>
      </c>
      <c r="P91" s="22"/>
    </row>
    <row r="92" spans="1:16" ht="13.5" customHeight="1" x14ac:dyDescent="0.2">
      <c r="A92" s="23" cm="1">
        <f t="array" ref="A92">1+A91</f>
        <v>77</v>
      </c>
      <c r="B92" s="24" t="s">
        <v>345</v>
      </c>
      <c r="C92" s="24" t="s">
        <v>346</v>
      </c>
      <c r="D92" s="37" t="s">
        <v>294</v>
      </c>
      <c r="E92" s="26" t="s">
        <v>23</v>
      </c>
      <c r="F92" s="27" t="s">
        <v>24</v>
      </c>
      <c r="G92" s="26" t="s">
        <v>23</v>
      </c>
      <c r="H92" s="26" t="s">
        <v>23</v>
      </c>
      <c r="I92" s="26" t="s">
        <v>23</v>
      </c>
      <c r="J92" s="23">
        <v>1</v>
      </c>
      <c r="K92" s="29" t="s">
        <v>32</v>
      </c>
      <c r="L92" s="24" t="s">
        <v>347</v>
      </c>
      <c r="M92" s="24" t="s">
        <v>348</v>
      </c>
      <c r="N92" s="24" t="s">
        <v>349</v>
      </c>
      <c r="O92" s="18" t="s">
        <v>36</v>
      </c>
      <c r="P92" s="22"/>
    </row>
    <row r="93" spans="1:16" ht="13.5" customHeight="1" x14ac:dyDescent="0.2">
      <c r="A93" s="23" cm="1">
        <f t="array" ref="A93">1+A92</f>
        <v>78</v>
      </c>
      <c r="B93" s="29" t="s">
        <v>350</v>
      </c>
      <c r="C93" s="29" t="s">
        <v>166</v>
      </c>
      <c r="D93" s="37" t="s">
        <v>294</v>
      </c>
      <c r="E93" s="26" t="s">
        <v>23</v>
      </c>
      <c r="F93" s="26" t="s">
        <v>23</v>
      </c>
      <c r="G93" s="27" t="s">
        <v>24</v>
      </c>
      <c r="H93" s="26" t="s">
        <v>23</v>
      </c>
      <c r="I93" s="26" t="s">
        <v>23</v>
      </c>
      <c r="J93" s="30">
        <v>1</v>
      </c>
      <c r="K93" s="29" t="s">
        <v>32</v>
      </c>
      <c r="L93" s="29" t="s">
        <v>351</v>
      </c>
      <c r="M93" s="29" t="s">
        <v>352</v>
      </c>
      <c r="N93" s="29" t="s">
        <v>353</v>
      </c>
      <c r="O93" s="18" t="s">
        <v>29</v>
      </c>
      <c r="P93" s="22"/>
    </row>
    <row r="94" spans="1:16" ht="13.5" customHeight="1" x14ac:dyDescent="0.2">
      <c r="A94" s="20"/>
      <c r="B94" s="21"/>
      <c r="C94" s="21"/>
      <c r="D94" s="38"/>
      <c r="E94" s="39"/>
      <c r="F94" s="40"/>
      <c r="G94" s="39"/>
      <c r="H94" s="39"/>
      <c r="I94" s="39"/>
      <c r="J94" s="20"/>
      <c r="K94" s="21"/>
      <c r="L94" s="21"/>
      <c r="M94" s="21"/>
      <c r="N94" s="21"/>
      <c r="O94" s="21"/>
      <c r="P94" s="22"/>
    </row>
    <row r="95" spans="1:16" ht="13.5" customHeight="1" x14ac:dyDescent="0.2">
      <c r="A95" s="20"/>
      <c r="B95" s="21"/>
      <c r="C95" s="21"/>
      <c r="D95" s="38"/>
      <c r="E95" s="40"/>
      <c r="F95" s="40"/>
      <c r="G95" s="39"/>
      <c r="H95" s="39"/>
      <c r="I95" s="39"/>
      <c r="J95" s="20"/>
      <c r="K95" s="21"/>
      <c r="L95" s="21"/>
      <c r="M95" s="21"/>
      <c r="N95" s="21"/>
      <c r="O95" s="21"/>
      <c r="P95" s="42"/>
    </row>
    <row r="96" spans="1:16" ht="13.5" customHeight="1" x14ac:dyDescent="0.2">
      <c r="A96" s="20"/>
      <c r="B96" s="21"/>
      <c r="C96" s="21"/>
      <c r="D96" s="38"/>
      <c r="E96" s="40"/>
      <c r="F96" s="39"/>
      <c r="G96" s="39"/>
      <c r="H96" s="39"/>
      <c r="I96" s="39"/>
      <c r="J96" s="20"/>
      <c r="K96" s="21"/>
      <c r="L96" s="21"/>
      <c r="M96" s="21"/>
      <c r="N96" s="21"/>
      <c r="O96" s="21"/>
      <c r="P96" s="45"/>
    </row>
    <row r="97" spans="1:16" ht="13.5" customHeight="1" x14ac:dyDescent="0.2">
      <c r="A97" s="20"/>
      <c r="B97" s="21"/>
      <c r="C97" s="21"/>
      <c r="D97" s="38"/>
      <c r="E97" s="40"/>
      <c r="F97" s="39"/>
      <c r="G97" s="39"/>
      <c r="H97" s="39"/>
      <c r="I97" s="39"/>
      <c r="J97" s="20"/>
      <c r="K97" s="21"/>
      <c r="L97" s="21"/>
      <c r="M97" s="21"/>
      <c r="N97" s="21"/>
      <c r="O97" s="21"/>
      <c r="P97" s="45"/>
    </row>
    <row r="98" spans="1:16" ht="13.5" customHeight="1" x14ac:dyDescent="0.2">
      <c r="A98" s="20"/>
      <c r="B98" s="46"/>
      <c r="C98" s="46"/>
      <c r="D98" s="47"/>
      <c r="E98" s="48"/>
      <c r="F98" s="48"/>
      <c r="G98" s="48"/>
      <c r="H98" s="48"/>
      <c r="I98" s="48"/>
      <c r="J98" s="41"/>
      <c r="K98" s="46"/>
      <c r="L98" s="46"/>
      <c r="M98" s="46"/>
      <c r="N98" s="46"/>
      <c r="O98" s="46"/>
      <c r="P98" s="45"/>
    </row>
    <row r="99" spans="1:16" ht="13.5" customHeight="1" x14ac:dyDescent="0.2">
      <c r="A99" s="49"/>
      <c r="B99" s="45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1"/>
      <c r="P99" s="45"/>
    </row>
    <row r="100" spans="1:16" ht="13.5" customHeight="1" x14ac:dyDescent="0.2">
      <c r="A100" s="49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45"/>
    </row>
    <row r="101" spans="1:16" ht="13.5" customHeight="1" x14ac:dyDescent="0.2">
      <c r="A101" s="49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45"/>
    </row>
    <row r="102" spans="1:16" ht="13.5" customHeight="1" x14ac:dyDescent="0.2">
      <c r="A102" s="49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45"/>
    </row>
    <row r="103" spans="1:16" ht="13.5" customHeight="1" x14ac:dyDescent="0.2">
      <c r="A103" s="49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45"/>
    </row>
    <row r="104" spans="1:16" ht="13.5" customHeight="1" x14ac:dyDescent="0.2">
      <c r="A104" s="49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45"/>
    </row>
    <row r="105" spans="1:16" ht="13.5" customHeight="1" x14ac:dyDescent="0.2">
      <c r="A105" s="49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45"/>
    </row>
    <row r="106" spans="1:16" ht="13.5" customHeight="1" x14ac:dyDescent="0.2">
      <c r="A106" s="49"/>
      <c r="B106" s="44"/>
      <c r="C106" s="44"/>
      <c r="D106" s="53"/>
      <c r="E106" s="54"/>
      <c r="F106" s="54"/>
      <c r="G106" s="54"/>
      <c r="H106" s="54"/>
      <c r="I106" s="54"/>
      <c r="J106" s="43"/>
      <c r="K106" s="44"/>
      <c r="L106" s="44"/>
      <c r="M106" s="44"/>
      <c r="N106" s="44"/>
      <c r="O106" s="44"/>
      <c r="P106" s="45"/>
    </row>
    <row r="107" spans="1:16" ht="13.5" customHeight="1" x14ac:dyDescent="0.2">
      <c r="A107" s="49"/>
      <c r="B107" s="44"/>
      <c r="C107" s="44"/>
      <c r="D107" s="53"/>
      <c r="E107" s="54"/>
      <c r="F107" s="54"/>
      <c r="G107" s="54"/>
      <c r="H107" s="54"/>
      <c r="I107" s="54"/>
      <c r="J107" s="43"/>
      <c r="K107" s="44"/>
      <c r="L107" s="44"/>
      <c r="M107" s="44"/>
      <c r="N107" s="44"/>
      <c r="O107" s="44"/>
      <c r="P107" s="45"/>
    </row>
    <row r="108" spans="1:16" ht="13.5" customHeight="1" x14ac:dyDescent="0.2">
      <c r="A108" s="49"/>
      <c r="B108" s="44"/>
      <c r="C108" s="44"/>
      <c r="D108" s="53"/>
      <c r="E108" s="54"/>
      <c r="F108" s="54"/>
      <c r="G108" s="54"/>
      <c r="H108" s="54"/>
      <c r="I108" s="54"/>
      <c r="J108" s="43"/>
      <c r="K108" s="44"/>
      <c r="L108" s="44"/>
      <c r="M108" s="44"/>
      <c r="N108" s="44"/>
      <c r="O108" s="44"/>
      <c r="P108" s="45"/>
    </row>
    <row r="109" spans="1:16" ht="13.5" customHeight="1" x14ac:dyDescent="0.2">
      <c r="A109" s="49"/>
      <c r="B109" s="44"/>
      <c r="C109" s="44"/>
      <c r="D109" s="53"/>
      <c r="E109" s="54"/>
      <c r="F109" s="54"/>
      <c r="G109" s="54"/>
      <c r="H109" s="54"/>
      <c r="I109" s="54"/>
      <c r="J109" s="43"/>
      <c r="K109" s="44"/>
      <c r="L109" s="44"/>
      <c r="M109" s="44"/>
      <c r="N109" s="44"/>
      <c r="O109" s="44"/>
      <c r="P109" s="45"/>
    </row>
    <row r="110" spans="1:16" ht="13.5" customHeight="1" x14ac:dyDescent="0.2">
      <c r="A110" s="49"/>
      <c r="B110" s="44"/>
      <c r="C110" s="44"/>
      <c r="D110" s="53"/>
      <c r="E110" s="54"/>
      <c r="F110" s="54"/>
      <c r="G110" s="54"/>
      <c r="H110" s="54"/>
      <c r="I110" s="54"/>
      <c r="J110" s="43"/>
      <c r="K110" s="44"/>
      <c r="L110" s="44"/>
      <c r="M110" s="44"/>
      <c r="N110" s="44"/>
      <c r="O110" s="44"/>
      <c r="P110" s="45"/>
    </row>
    <row r="111" spans="1:16" ht="13.5" customHeight="1" x14ac:dyDescent="0.2">
      <c r="A111" s="49"/>
      <c r="B111" s="44"/>
      <c r="C111" s="44"/>
      <c r="D111" s="53"/>
      <c r="E111" s="54"/>
      <c r="F111" s="54"/>
      <c r="G111" s="54"/>
      <c r="H111" s="54"/>
      <c r="I111" s="54"/>
      <c r="J111" s="43"/>
      <c r="K111" s="44"/>
      <c r="L111" s="44"/>
      <c r="M111" s="44"/>
      <c r="N111" s="44"/>
      <c r="O111" s="44"/>
      <c r="P111" s="45"/>
    </row>
    <row r="112" spans="1:16" ht="13.5" customHeight="1" x14ac:dyDescent="0.2">
      <c r="A112" s="49"/>
      <c r="B112" s="44"/>
      <c r="C112" s="44"/>
      <c r="D112" s="53"/>
      <c r="E112" s="54"/>
      <c r="F112" s="54"/>
      <c r="G112" s="54"/>
      <c r="H112" s="54"/>
      <c r="I112" s="54"/>
      <c r="J112" s="43"/>
      <c r="K112" s="44"/>
      <c r="L112" s="44"/>
      <c r="M112" s="44"/>
      <c r="N112" s="44"/>
      <c r="O112" s="44"/>
      <c r="P112" s="45"/>
    </row>
    <row r="113" spans="1:16" ht="13.5" customHeight="1" x14ac:dyDescent="0.2">
      <c r="A113" s="55"/>
      <c r="B113" s="44"/>
      <c r="C113" s="44"/>
      <c r="D113" s="53"/>
      <c r="E113" s="54"/>
      <c r="F113" s="54"/>
      <c r="G113" s="54"/>
      <c r="H113" s="54"/>
      <c r="I113" s="54"/>
      <c r="J113" s="43"/>
      <c r="K113" s="44"/>
      <c r="L113" s="44"/>
      <c r="M113" s="44"/>
      <c r="N113" s="44"/>
      <c r="O113" s="44"/>
      <c r="P113" s="45"/>
    </row>
    <row r="114" spans="1:16" ht="13.5" customHeight="1" x14ac:dyDescent="0.2">
      <c r="A114" s="56"/>
      <c r="B114" s="44"/>
      <c r="C114" s="44"/>
      <c r="D114" s="53"/>
      <c r="E114" s="54"/>
      <c r="F114" s="54"/>
      <c r="G114" s="54"/>
      <c r="H114" s="54"/>
      <c r="I114" s="54"/>
      <c r="J114" s="43"/>
      <c r="K114" s="44"/>
      <c r="L114" s="44"/>
      <c r="M114" s="44"/>
      <c r="N114" s="44"/>
      <c r="O114" s="44"/>
      <c r="P114" s="45"/>
    </row>
    <row r="115" spans="1:16" ht="13.5" customHeight="1" x14ac:dyDescent="0.2">
      <c r="A115" s="57"/>
      <c r="B115" s="44"/>
      <c r="C115" s="44"/>
      <c r="D115" s="53"/>
      <c r="E115" s="54"/>
      <c r="F115" s="54"/>
      <c r="G115" s="54"/>
      <c r="H115" s="54"/>
      <c r="I115" s="54"/>
      <c r="J115" s="43"/>
      <c r="K115" s="44"/>
      <c r="L115" s="44"/>
      <c r="M115" s="44"/>
      <c r="N115" s="44"/>
      <c r="O115" s="44"/>
      <c r="P115" s="45"/>
    </row>
    <row r="116" spans="1:16" ht="13.5" customHeight="1" x14ac:dyDescent="0.2">
      <c r="A116" s="49"/>
      <c r="B116" s="44"/>
      <c r="C116" s="44"/>
      <c r="D116" s="53"/>
      <c r="E116" s="54"/>
      <c r="F116" s="54"/>
      <c r="G116" s="54"/>
      <c r="H116" s="54"/>
      <c r="I116" s="54"/>
      <c r="J116" s="43"/>
      <c r="K116" s="44"/>
      <c r="L116" s="44"/>
      <c r="M116" s="44"/>
      <c r="N116" s="44"/>
      <c r="O116" s="44"/>
      <c r="P116" s="45"/>
    </row>
    <row r="117" spans="1:16" ht="13.5" customHeight="1" x14ac:dyDescent="0.2">
      <c r="A117" s="49"/>
      <c r="B117" s="44"/>
      <c r="C117" s="44"/>
      <c r="D117" s="53"/>
      <c r="E117" s="54"/>
      <c r="F117" s="54"/>
      <c r="G117" s="54"/>
      <c r="H117" s="54"/>
      <c r="I117" s="54"/>
      <c r="J117" s="43"/>
      <c r="K117" s="44"/>
      <c r="L117" s="44"/>
      <c r="M117" s="44"/>
      <c r="N117" s="44"/>
      <c r="O117" s="44"/>
      <c r="P117" s="45"/>
    </row>
    <row r="118" spans="1:16" ht="13.5" customHeight="1" x14ac:dyDescent="0.2">
      <c r="A118" s="55"/>
      <c r="B118" s="44"/>
      <c r="C118" s="44"/>
      <c r="D118" s="53"/>
      <c r="E118" s="54"/>
      <c r="F118" s="54"/>
      <c r="G118" s="54"/>
      <c r="H118" s="54"/>
      <c r="I118" s="54"/>
      <c r="J118" s="43"/>
      <c r="K118" s="44"/>
      <c r="L118" s="44"/>
      <c r="M118" s="44"/>
      <c r="N118" s="44"/>
      <c r="O118" s="44"/>
      <c r="P118" s="45"/>
    </row>
    <row r="119" spans="1:16" ht="13.5" customHeight="1" x14ac:dyDescent="0.2">
      <c r="A119" s="56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45"/>
    </row>
    <row r="120" spans="1:16" ht="13.5" customHeight="1" x14ac:dyDescent="0.2">
      <c r="A120" s="56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45"/>
    </row>
    <row r="121" spans="1:16" ht="13.5" customHeight="1" x14ac:dyDescent="0.2">
      <c r="A121" s="56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45"/>
    </row>
    <row r="122" spans="1:16" ht="13.5" customHeight="1" x14ac:dyDescent="0.2">
      <c r="A122" s="56"/>
      <c r="B122" s="44"/>
      <c r="C122" s="44"/>
      <c r="D122" s="53"/>
      <c r="E122" s="54"/>
      <c r="F122" s="54"/>
      <c r="G122" s="54"/>
      <c r="H122" s="54"/>
      <c r="I122" s="54"/>
      <c r="J122" s="43"/>
      <c r="K122" s="44"/>
      <c r="L122" s="44"/>
      <c r="M122" s="44"/>
      <c r="N122" s="44"/>
      <c r="O122" s="44"/>
      <c r="P122" s="45"/>
    </row>
    <row r="123" spans="1:16" ht="13.5" customHeight="1" x14ac:dyDescent="0.2">
      <c r="A123" s="56"/>
      <c r="B123" s="44"/>
      <c r="C123" s="44"/>
      <c r="D123" s="53"/>
      <c r="E123" s="54"/>
      <c r="F123" s="54"/>
      <c r="G123" s="54"/>
      <c r="H123" s="54"/>
      <c r="I123" s="54"/>
      <c r="J123" s="43"/>
      <c r="K123" s="44"/>
      <c r="L123" s="44"/>
      <c r="M123" s="44"/>
      <c r="N123" s="44"/>
      <c r="O123" s="44"/>
      <c r="P123" s="45"/>
    </row>
    <row r="124" spans="1:16" ht="13.5" customHeight="1" x14ac:dyDescent="0.2">
      <c r="A124" s="56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45"/>
    </row>
    <row r="125" spans="1:16" ht="13.5" customHeight="1" x14ac:dyDescent="0.2">
      <c r="A125" s="56"/>
      <c r="B125" s="44"/>
      <c r="C125" s="44"/>
      <c r="D125" s="53"/>
      <c r="E125" s="54"/>
      <c r="F125" s="54"/>
      <c r="G125" s="54"/>
      <c r="H125" s="54"/>
      <c r="I125" s="54"/>
      <c r="J125" s="43"/>
      <c r="K125" s="44"/>
      <c r="L125" s="44"/>
      <c r="M125" s="44"/>
      <c r="N125" s="44"/>
      <c r="O125" s="44"/>
      <c r="P125" s="45"/>
    </row>
    <row r="126" spans="1:16" ht="13.5" customHeight="1" x14ac:dyDescent="0.2">
      <c r="A126" s="56"/>
      <c r="B126" s="44"/>
      <c r="C126" s="44"/>
      <c r="D126" s="53"/>
      <c r="E126" s="54"/>
      <c r="F126" s="54"/>
      <c r="G126" s="54"/>
      <c r="H126" s="54"/>
      <c r="I126" s="54"/>
      <c r="J126" s="43"/>
      <c r="K126" s="44"/>
      <c r="L126" s="44"/>
      <c r="M126" s="44"/>
      <c r="N126" s="44"/>
      <c r="O126" s="44"/>
      <c r="P126" s="45"/>
    </row>
    <row r="127" spans="1:16" ht="13.5" customHeight="1" x14ac:dyDescent="0.2">
      <c r="A127" s="56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45"/>
    </row>
    <row r="128" spans="1:16" ht="13.5" customHeight="1" x14ac:dyDescent="0.2">
      <c r="A128" s="56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8"/>
    </row>
    <row r="129" spans="1:16" ht="13.5" customHeight="1" x14ac:dyDescent="0.2">
      <c r="A129" s="56"/>
      <c r="B129" s="44"/>
      <c r="C129" s="44"/>
      <c r="D129" s="53"/>
      <c r="E129" s="54"/>
      <c r="F129" s="54"/>
      <c r="G129" s="54"/>
      <c r="H129" s="54"/>
      <c r="I129" s="54"/>
      <c r="J129" s="43"/>
      <c r="K129" s="44"/>
      <c r="L129" s="44"/>
      <c r="M129" s="44"/>
      <c r="N129" s="44"/>
      <c r="O129" s="44"/>
      <c r="P129" s="35"/>
    </row>
    <row r="130" spans="1:16" ht="13.5" customHeight="1" x14ac:dyDescent="0.2">
      <c r="A130" s="56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35"/>
    </row>
    <row r="131" spans="1:16" ht="13.5" customHeight="1" x14ac:dyDescent="0.2">
      <c r="A131" s="56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35"/>
    </row>
  </sheetData>
  <mergeCells count="4">
    <mergeCell ref="A1:P1"/>
    <mergeCell ref="A2:D2"/>
    <mergeCell ref="E2:J2"/>
    <mergeCell ref="L2:N2"/>
  </mergeCells>
  <dataValidations count="1">
    <dataValidation type="list" allowBlank="1" showInputMessage="1" showErrorMessage="1" sqref="O7:O8 O10:O13 O16:O98 O106:O118 O122:O123 O125:O126 O129" xr:uid="{00000000-0002-0000-0000-000000000000}">
      <formula1>"À contacter,Contacté,Confirmé,Relance,Annulé"</formula1>
    </dataValidation>
  </dataValidations>
  <hyperlinks>
    <hyperlink ref="N16" r:id="rId1" xr:uid="{00000000-0004-0000-0000-000000000000}"/>
    <hyperlink ref="N20" r:id="rId2" xr:uid="{00000000-0004-0000-0000-000001000000}"/>
    <hyperlink ref="N23" r:id="rId3" xr:uid="{00000000-0004-0000-0000-000002000000}"/>
    <hyperlink ref="N32" r:id="rId4" xr:uid="{00000000-0004-0000-0000-000003000000}"/>
    <hyperlink ref="N34" r:id="rId5" xr:uid="{00000000-0004-0000-0000-000004000000}"/>
    <hyperlink ref="N41" r:id="rId6" xr:uid="{00000000-0004-0000-0000-000005000000}"/>
    <hyperlink ref="N43" r:id="rId7" xr:uid="{00000000-0004-0000-0000-000006000000}"/>
    <hyperlink ref="N44" r:id="rId8" xr:uid="{00000000-0004-0000-0000-000007000000}"/>
    <hyperlink ref="N49" r:id="rId9" xr:uid="{00000000-0004-0000-0000-000008000000}"/>
    <hyperlink ref="N50" r:id="rId10" xr:uid="{00000000-0004-0000-0000-000009000000}"/>
    <hyperlink ref="N55" r:id="rId11" xr:uid="{00000000-0004-0000-0000-00000A000000}"/>
    <hyperlink ref="N57" r:id="rId12" xr:uid="{00000000-0004-0000-0000-00000B000000}"/>
    <hyperlink ref="N61" r:id="rId13" xr:uid="{00000000-0004-0000-0000-00000C000000}"/>
    <hyperlink ref="N64" r:id="rId14" xr:uid="{00000000-0004-0000-0000-00000D000000}"/>
    <hyperlink ref="N65" r:id="rId15" xr:uid="{00000000-0004-0000-0000-00000E000000}"/>
    <hyperlink ref="N70" r:id="rId16" xr:uid="{00000000-0004-0000-0000-00000F000000}"/>
    <hyperlink ref="N77" r:id="rId17" xr:uid="{00000000-0004-0000-0000-000010000000}"/>
    <hyperlink ref="N78" r:id="rId18" xr:uid="{00000000-0004-0000-0000-000011000000}"/>
    <hyperlink ref="N83" r:id="rId19" xr:uid="{00000000-0004-0000-0000-000012000000}"/>
    <hyperlink ref="N88" r:id="rId20" xr:uid="{00000000-0004-0000-0000-000013000000}"/>
    <hyperlink ref="N93" r:id="rId21" xr:uid="{00000000-0004-0000-0000-000014000000}"/>
  </hyperlinks>
  <pageMargins left="0.75" right="0.75" top="1" bottom="1" header="0.51181100000000002" footer="0.51181100000000002"/>
  <pageSetup orientation="landscape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📋 BASE EXPOSANTS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teva.geros@aracom-conseil.fr</cp:lastModifiedBy>
  <dcterms:modified xsi:type="dcterms:W3CDTF">2026-06-17T18:53:14Z</dcterms:modified>
</cp:coreProperties>
</file>